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tions" sheetId="1" state="visible" r:id="rId3"/>
    <sheet name="Summary" sheetId="2" state="visible" r:id="rId4"/>
  </sheets>
  <definedNames>
    <definedName function="false" hidden="true" localSheetId="0" name="_xlnm._FilterDatabase" vbProcedure="false">Captions!$A$1:$L$102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<sst xmlns="http://schemas.openxmlformats.org/spreadsheetml/2006/main" count="1043" uniqueCount="360">
  <si>
    <t xml:space="preserve">Category</t>
  </si>
  <si>
    <t xml:space="preserve">Experiment</t>
  </si>
  <si>
    <t xml:space="preserve">Frame</t>
  </si>
  <si>
    <t xml:space="preserve">Image file</t>
  </si>
  <si>
    <t xml:space="preserve">State phrase</t>
  </si>
  <si>
    <t xml:space="preserve">Phase</t>
  </si>
  <si>
    <t xml:space="preserve">Viewpoint</t>
  </si>
  <si>
    <t xml:space="preserve">Container</t>
  </si>
  <si>
    <t xml:space="preserve">Source</t>
  </si>
  <si>
    <t xml:space="preserve">Morphology</t>
  </si>
  <si>
    <t xml:space="preserve">Style tags</t>
  </si>
  <si>
    <t xml:space="preserve">Full caption</t>
  </si>
  <si>
    <t xml:space="preserve">Pure Diffusion</t>
  </si>
  <si>
    <t xml:space="preserve">01_pure_diffusion/1-1.jpg</t>
  </si>
  <si>
    <t xml:space="preserve">black ink diffusing freely across still water</t>
  </si>
  <si>
    <t xml:space="preserve">early phase of diffusion</t>
  </si>
  <si>
    <t xml:space="preserve">top-down view</t>
  </si>
  <si>
    <t xml:space="preserve">inside a shallow pale basin</t>
  </si>
  <si>
    <t xml:space="preserve">Direct capture</t>
  </si>
  <si>
    <t xml:space="preserve">a dense ink mass in the upper left with marbled swirls spreading right across gray water</t>
  </si>
  <si>
    <t xml:space="preserve">monochrome, high contrast</t>
  </si>
  <si>
    <t xml:space="preserve">inkwb, black ink diffusing freely across still water, early phase of diffusion, top-down view, inside a shallow pale basin, a dense ink mass in the upper left with marbled swirls spreading right across gray water, monochrome, high contrast</t>
  </si>
  <si>
    <t xml:space="preserve">01_pure_diffusion/1-2.jpg</t>
  </si>
  <si>
    <t xml:space="preserve">developing phase of diffusion</t>
  </si>
  <si>
    <t xml:space="preserve">ink flooding in from the upper left, marbled ripples along the lower right edge</t>
  </si>
  <si>
    <t xml:space="preserve">inkwb, black ink diffusing freely across still water, developing phase of diffusion, top-down view, inside a shallow pale basin, ink flooding in from the upper left, marbled ripples along the lower right edge, monochrome, high contrast</t>
  </si>
  <si>
    <t xml:space="preserve">01_pure_diffusion/1-3.jpg</t>
  </si>
  <si>
    <t xml:space="preserve">advanced phase of diffusion</t>
  </si>
  <si>
    <t xml:space="preserve">ink covering most of the surface, a small marbled swirl remaining at bottom center</t>
  </si>
  <si>
    <t xml:space="preserve">inkwb, black ink diffusing freely across still water, advanced phase of diffusion, top-down view, inside a shallow pale basin, ink covering most of the surface, a small marbled swirl remaining at bottom center, monochrome, high contrast</t>
  </si>
  <si>
    <t xml:space="preserve">01_pure_diffusion/1-4.jpg</t>
  </si>
  <si>
    <t xml:space="preserve">final phase of diffusion</t>
  </si>
  <si>
    <t xml:space="preserve">ink fully covering the water surface, a near-total black field</t>
  </si>
  <si>
    <t xml:space="preserve">inkwb, black ink diffusing freely across still water, final phase of diffusion, top-down view, inside a shallow pale basin, ink fully covering the water surface, a near-total black field, monochrome, high contrast</t>
  </si>
  <si>
    <t xml:space="preserve">01_pure_diffusion/2-1.jpg</t>
  </si>
  <si>
    <t xml:space="preserve">inside a shallow pale basin; curved basin rim visible</t>
  </si>
  <si>
    <t xml:space="preserve">a compact ink cluster drifting at the center of a bright pale basin, wide negative space</t>
  </si>
  <si>
    <t xml:space="preserve">inkwb, black ink diffusing freely across still water, early phase of diffusion, top-down view, inside a shallow pale basin, curved basin rim visible, a compact ink cluster drifting at the center of a bright pale basin, wide negative space, monochrome, high contrast</t>
  </si>
  <si>
    <t xml:space="preserve">01_pure_diffusion/2-2.jpg</t>
  </si>
  <si>
    <t xml:space="preserve">ink advancing from the left, turbulent marbled swirls at center with fine wisps below</t>
  </si>
  <si>
    <t xml:space="preserve">inkwb, black ink diffusing freely across still water, developing phase of diffusion, top-down view, inside a shallow pale basin, ink advancing from the left, turbulent marbled swirls at center with fine wisps below, monochrome, high contrast</t>
  </si>
  <si>
    <t xml:space="preserve">01_pure_diffusion/2-3.jpg</t>
  </si>
  <si>
    <t xml:space="preserve">ink masses closing in from top and right around a pale marbled opening</t>
  </si>
  <si>
    <t xml:space="preserve">inkwb, black ink diffusing freely across still water, advanced phase of diffusion, top-down view, inside a shallow pale basin, ink masses closing in from top and right around a pale marbled opening, monochrome, high contrast</t>
  </si>
  <si>
    <t xml:space="preserve">01_pure_diffusion/2-4.jpg</t>
  </si>
  <si>
    <t xml:space="preserve">ink almost fully covering the surface, only faint pale traces at the edge</t>
  </si>
  <si>
    <t xml:space="preserve">inkwb, black ink diffusing freely across still water, final phase of diffusion, top-down view, inside a shallow pale basin, ink almost fully covering the surface, only faint pale traces at the edge, monochrome, high contrast</t>
  </si>
  <si>
    <t xml:space="preserve">01_pure_diffusion/3-1.jpg</t>
  </si>
  <si>
    <t xml:space="preserve">a large rounded ink blob on the left of a pale circular basin, a thin tendril reaching right</t>
  </si>
  <si>
    <t xml:space="preserve">inkwb, black ink diffusing freely across still water, early phase of diffusion, top-down view, inside a shallow pale basin, curved basin rim visible, a large rounded ink blob on the left of a pale circular basin, a thin tendril reaching right, monochrome, high contrast</t>
  </si>
  <si>
    <t xml:space="preserve">01_pure_diffusion/3-2.jpg</t>
  </si>
  <si>
    <t xml:space="preserve">a broad ink mass covering the center, narrow pale margins at the edges</t>
  </si>
  <si>
    <t xml:space="preserve">inkwb, black ink diffusing freely across still water, developing phase of diffusion, top-down view, inside a shallow pale basin, a broad ink mass covering the center, narrow pale margins at the edges, monochrome, high contrast</t>
  </si>
  <si>
    <t xml:space="preserve">01_pure_diffusion/3-3.jpg</t>
  </si>
  <si>
    <t xml:space="preserve">ink covering nearly the whole frame, a slim pale sliver at the right</t>
  </si>
  <si>
    <t xml:space="preserve">inkwb, black ink diffusing freely across still water, advanced phase of diffusion, top-down view, inside a shallow pale basin, ink covering nearly the whole frame, a slim pale sliver at the right, monochrome, high contrast</t>
  </si>
  <si>
    <t xml:space="preserve">01_pure_diffusion/3-4.jpg</t>
  </si>
  <si>
    <t xml:space="preserve">near-total black coverage with a faint pale corner remaining</t>
  </si>
  <si>
    <t xml:space="preserve">inkwb, black ink diffusing freely across still water, final phase of diffusion, top-down view, inside a shallow pale basin, near-total black coverage with a faint pale corner remaining, monochrome, high contrast</t>
  </si>
  <si>
    <t xml:space="preserve">01_pure_diffusion/4-1.jpg</t>
  </si>
  <si>
    <t xml:space="preserve">a rounded ink mass pressing down from the top over a pale rimmed basin</t>
  </si>
  <si>
    <t xml:space="preserve">inkwb, black ink diffusing freely across still water, early phase of diffusion, top-down view, inside a shallow pale basin, curved basin rim visible, a rounded ink mass pressing down from the top over a pale rimmed basin, monochrome, high contrast</t>
  </si>
  <si>
    <t xml:space="preserve">01_pure_diffusion/4-2.jpg</t>
  </si>
  <si>
    <t xml:space="preserve">ink covering the upper half, a scalloped lobed edge descending over pale water</t>
  </si>
  <si>
    <t xml:space="preserve">inkwb, black ink diffusing freely across still water, developing phase of diffusion, top-down view, inside a shallow pale basin, ink covering the upper half, a scalloped lobed edge descending over pale water, monochrome, high contrast</t>
  </si>
  <si>
    <t xml:space="preserve">01_pure_diffusion/4-3.jpg</t>
  </si>
  <si>
    <t xml:space="preserve">ink covering two thirds of the frame with a bumpy advancing lower edge</t>
  </si>
  <si>
    <t xml:space="preserve">inkwb, black ink diffusing freely across still water, advanced phase of diffusion, top-down view, inside a shallow pale basin, ink covering two thirds of the frame with a bumpy advancing lower edge, monochrome, high contrast</t>
  </si>
  <si>
    <t xml:space="preserve">01_pure_diffusion/4-4.jpg</t>
  </si>
  <si>
    <t xml:space="preserve">near-total coverage, a thin pale band remaining at the bottom</t>
  </si>
  <si>
    <t xml:space="preserve">inkwb, black ink diffusing freely across still water, final phase of diffusion, top-down view, inside a shallow pale basin, near-total coverage, a thin pale band remaining at the bottom, monochrome, high contrast</t>
  </si>
  <si>
    <t xml:space="preserve">01_pure_diffusion/5-1.jpg</t>
  </si>
  <si>
    <t xml:space="preserve">a cauliflower-like ink cluster at top center above a small pale ring, wide bright field</t>
  </si>
  <si>
    <t xml:space="preserve">inkwb, black ink diffusing freely across still water, early phase of diffusion, top-down view, inside a shallow pale basin, curved basin rim visible, a cauliflower-like ink cluster at top center above a small pale ring, wide bright field, monochrome, high contrast</t>
  </si>
  <si>
    <t xml:space="preserve">01_pure_diffusion/5-2.jpg</t>
  </si>
  <si>
    <t xml:space="preserve">a heavy lobed ink mass at upper right, soft gray washes across the lower left</t>
  </si>
  <si>
    <t xml:space="preserve">inkwb, black ink diffusing freely across still water, developing phase of diffusion, top-down view, inside a shallow pale basin, a heavy lobed ink mass at upper right, soft gray washes across the lower left, monochrome, high contrast</t>
  </si>
  <si>
    <t xml:space="preserve">01_pure_diffusion/5-3.jpg</t>
  </si>
  <si>
    <t xml:space="preserve">a dense ink dome above delicate smoky veils in the lower left corner</t>
  </si>
  <si>
    <t xml:space="preserve">inkwb, black ink diffusing freely across still water, advanced phase of diffusion, top-down view, inside a shallow pale basin, a dense ink dome above delicate smoky veils in the lower left corner, monochrome, high contrast</t>
  </si>
  <si>
    <t xml:space="preserve">01_pure_diffusion/5-4.jpg</t>
  </si>
  <si>
    <t xml:space="preserve">ink almost fully covering the frame with faint gray gradations</t>
  </si>
  <si>
    <t xml:space="preserve">inkwb, black ink diffusing freely across still water, final phase of diffusion, top-down view, inside a shallow pale basin, ink almost fully covering the frame with faint gray gradations, monochrome, high contrast</t>
  </si>
  <si>
    <t xml:space="preserve">01_pure_diffusion/6-1.jpg</t>
  </si>
  <si>
    <t xml:space="preserve">a round ink blob left of center on a bright pale field with a faint ring around it</t>
  </si>
  <si>
    <t xml:space="preserve">inkwb, black ink diffusing freely across still water, early phase of diffusion, top-down view, inside a shallow pale basin, curved basin rim visible, a round ink blob left of center on a bright pale field with a faint ring around it, monochrome, high contrast</t>
  </si>
  <si>
    <t xml:space="preserve">01_pure_diffusion/6-2.jpg</t>
  </si>
  <si>
    <t xml:space="preserve">a large rounded ink mass centered on a pale field with a soft halo</t>
  </si>
  <si>
    <t xml:space="preserve">inkwb, black ink diffusing freely across still water, developing phase of diffusion, top-down view, inside a shallow pale basin, curved basin rim visible, a large rounded ink mass centered on a pale field with a soft halo, monochrome, high contrast</t>
  </si>
  <si>
    <t xml:space="preserve">01_pure_diffusion/6-3.jpg</t>
  </si>
  <si>
    <t xml:space="preserve">an ink mass filling most of the frame, pale corners remaining at the top</t>
  </si>
  <si>
    <t xml:space="preserve">inkwb, black ink diffusing freely across still water, advanced phase of diffusion, top-down view, inside a shallow pale basin, an ink mass filling most of the frame, pale corners remaining at the top, monochrome, high contrast</t>
  </si>
  <si>
    <t xml:space="preserve">01_pure_diffusion/6-4.jpg</t>
  </si>
  <si>
    <t xml:space="preserve">ink completely covering the water surface, a solid black field</t>
  </si>
  <si>
    <t xml:space="preserve">inkwb, black ink diffusing freely across still water, final phase of diffusion, top-down view, inside a shallow pale basin, ink completely covering the water surface, a solid black field, monochrome, high contrast</t>
  </si>
  <si>
    <t xml:space="preserve">Layered Ink</t>
  </si>
  <si>
    <t xml:space="preserve">02_layered_ink/1-1.jpg</t>
  </si>
  <si>
    <t xml:space="preserve">layered black ink suspended in water</t>
  </si>
  <si>
    <t xml:space="preserve">early phase of settling</t>
  </si>
  <si>
    <t xml:space="preserve">side view</t>
  </si>
  <si>
    <t xml:space="preserve">inside a clear water tank</t>
  </si>
  <si>
    <t xml:space="preserve">a single small ink plume drifting down through bright water, wide empty space below</t>
  </si>
  <si>
    <t xml:space="preserve">inkwb, layered black ink suspended in water, early phase of settling, side view, inside a clear water tank, a single small ink plume drifting down through bright water, wide empty space below, monochrome, high contrast</t>
  </si>
  <si>
    <t xml:space="preserve">02_layered_ink/1-2.jpg</t>
  </si>
  <si>
    <t xml:space="preserve">developing phase of settling</t>
  </si>
  <si>
    <t xml:space="preserve">ink clouds billowing downward from the top, translucent veils between dense lobes</t>
  </si>
  <si>
    <t xml:space="preserve">inkwb, layered black ink suspended in water, developing phase of settling, side view, inside a clear water tank, ink clouds billowing downward from the top, translucent veils between dense lobes, monochrome, high contrast</t>
  </si>
  <si>
    <t xml:space="preserve">02_layered_ink/1-3.jpg</t>
  </si>
  <si>
    <t xml:space="preserve">advanced phase of settling</t>
  </si>
  <si>
    <t xml:space="preserve">a dense ink canopy across the top with layered translucent folds beneath</t>
  </si>
  <si>
    <t xml:space="preserve">inkwb, layered black ink suspended in water, advanced phase of settling, side view, inside a clear water tank, a dense ink canopy across the top with layered translucent folds beneath, monochrome, high contrast</t>
  </si>
  <si>
    <t xml:space="preserve">02_layered_ink/1-4.jpg</t>
  </si>
  <si>
    <t xml:space="preserve">final phase of settling</t>
  </si>
  <si>
    <t xml:space="preserve">a heavy ink cloud filling the frame, faint smoky layers at the top</t>
  </si>
  <si>
    <t xml:space="preserve">inkwb, layered black ink suspended in water, final phase of settling, side view, inside a clear water tank, a heavy ink cloud filling the frame, faint smoky layers at the top, monochrome, high contrast</t>
  </si>
  <si>
    <t xml:space="preserve">02_layered_ink/2-1.jpg</t>
  </si>
  <si>
    <t xml:space="preserve">a narrow ink plume dropping vertically from the top edge, bright empty field around it</t>
  </si>
  <si>
    <t xml:space="preserve">inkwb, layered black ink suspended in water, early phase of settling, side view, inside a clear water tank, a narrow ink plume dropping vertically from the top edge, bright empty field around it, monochrome, high contrast</t>
  </si>
  <si>
    <t xml:space="preserve">02_layered_ink/2-2.jpg</t>
  </si>
  <si>
    <t xml:space="preserve">a settled ink layer at the bottom with fine wisps and threads rising into pale water</t>
  </si>
  <si>
    <t xml:space="preserve">inkwb, layered black ink suspended in water, developing phase of settling, side view, inside a clear water tank, a settled ink layer at the bottom with fine wisps and threads rising into pale water, monochrome, high contrast</t>
  </si>
  <si>
    <t xml:space="preserve">02_layered_ink/2-3.jpg</t>
  </si>
  <si>
    <t xml:space="preserve">translucent veils and thin threads descending toward a dark settled layer</t>
  </si>
  <si>
    <t xml:space="preserve">inkwb, layered black ink suspended in water, advanced phase of settling, side view, inside a clear water tank, translucent veils and thin threads descending toward a dark settled layer, monochrome, high contrast</t>
  </si>
  <si>
    <t xml:space="preserve">02_layered_ink/2-4.jpg</t>
  </si>
  <si>
    <t xml:space="preserve">droplet trails and tendrils raining down onto a dark bottom layer</t>
  </si>
  <si>
    <t xml:space="preserve">inkwb, layered black ink suspended in water, final phase of settling, side view, inside a clear water tank, droplet trails and tendrils raining down onto a dark bottom layer, monochrome, high contrast</t>
  </si>
  <si>
    <t xml:space="preserve">02_layered_ink/3-1.jpg</t>
  </si>
  <si>
    <t xml:space="preserve">a vertical ink column standing on a settled dark base, tendrils fraying at the top</t>
  </si>
  <si>
    <t xml:space="preserve">inkwb, layered black ink suspended in water, early phase of settling, side view, inside a clear water tank, a vertical ink column standing on a settled dark base, tendrils fraying at the top, monochrome, high contrast</t>
  </si>
  <si>
    <t xml:space="preserve">02_layered_ink/3-2.jpg</t>
  </si>
  <si>
    <t xml:space="preserve">a twisting ink column connecting an upper veil to a settled dark base</t>
  </si>
  <si>
    <t xml:space="preserve">inkwb, layered black ink suspended in water, developing phase of settling, side view, inside a clear water tank, a twisting ink column connecting an upper veil to a settled dark base, monochrome, high contrast</t>
  </si>
  <si>
    <t xml:space="preserve">02_layered_ink/3-3.jpg</t>
  </si>
  <si>
    <t xml:space="preserve">a mushroom-like ink canopy at upper left with a thin column dropping to the base</t>
  </si>
  <si>
    <t xml:space="preserve">inkwb, layered black ink suspended in water, advanced phase of settling, side view, inside a clear water tank, a mushroom-like ink canopy at upper left with a thin column dropping to the base, monochrome, high contrast</t>
  </si>
  <si>
    <t xml:space="preserve">02_layered_ink/3-4.jpg</t>
  </si>
  <si>
    <t xml:space="preserve">a soft ink haze at the top with droplet tendrils sinking toward the settled layer</t>
  </si>
  <si>
    <t xml:space="preserve">inkwb, layered black ink suspended in water, final phase of settling, side view, inside a clear water tank, a soft ink haze at the top with droplet tendrils sinking toward the settled layer, monochrome, high contrast</t>
  </si>
  <si>
    <t xml:space="preserve">02_layered_ink/4-1.jpg</t>
  </si>
  <si>
    <t xml:space="preserve">a compact ink droplet cluster hanging alone in bright water, wide negative space</t>
  </si>
  <si>
    <t xml:space="preserve">inkwb, layered black ink suspended in water, early phase of settling, side view, inside a clear water tank, a compact ink droplet cluster hanging alone in bright water, wide negative space, monochrome, high contrast</t>
  </si>
  <si>
    <t xml:space="preserve">02_layered_ink/4-2.jpg</t>
  </si>
  <si>
    <t xml:space="preserve">a tall lobed ink stack rising from a settled mass at the bottom, pale background</t>
  </si>
  <si>
    <t xml:space="preserve">inkwb, layered black ink suspended in water, developing phase of settling, side view, inside a clear water tank, a tall lobed ink stack rising from a settled mass at the bottom, pale background, monochrome, high contrast</t>
  </si>
  <si>
    <t xml:space="preserve">02_layered_ink/4-3.jpg</t>
  </si>
  <si>
    <t xml:space="preserve">dark settled ink at the bottom with a translucent swirl rising through pale water</t>
  </si>
  <si>
    <t xml:space="preserve">inkwb, layered black ink suspended in water, advanced phase of settling, side view, inside a clear water tank, dark settled ink at the bottom with a translucent swirl rising through pale water, monochrome, high contrast</t>
  </si>
  <si>
    <t xml:space="preserve">02_layered_ink/4-4.jpg</t>
  </si>
  <si>
    <t xml:space="preserve">a dark bottom layer under soft gray washes, a droplet fringe hanging from the top</t>
  </si>
  <si>
    <t xml:space="preserve">inkwb, layered black ink suspended in water, final phase of settling, side view, inside a clear water tank, a dark bottom layer under soft gray washes, a droplet fringe hanging from the top, monochrome, high contrast</t>
  </si>
  <si>
    <t xml:space="preserve">02_layered_ink/5-1.jpg</t>
  </si>
  <si>
    <t xml:space="preserve">a diagonal cone of ink droplets sinking through bright water, wide empty space</t>
  </si>
  <si>
    <t xml:space="preserve">inkwb, layered black ink suspended in water, early phase of settling, side view, inside a clear water tank, a diagonal cone of ink droplets sinking through bright water, wide empty space, monochrome, high contrast</t>
  </si>
  <si>
    <t xml:space="preserve">02_layered_ink/5-2.jpg</t>
  </si>
  <si>
    <t xml:space="preserve">dense ink lobes rising at the bottom with a fine curling wisp above</t>
  </si>
  <si>
    <t xml:space="preserve">inkwb, layered black ink suspended in water, developing phase of settling, side view, inside a clear water tank, dense ink lobes rising at the bottom with a fine curling wisp above, monochrome, high contrast</t>
  </si>
  <si>
    <t xml:space="preserve">02_layered_ink/5-3.jpg</t>
  </si>
  <si>
    <t xml:space="preserve">thin translucent veils drifting horizontally above a dark bottom layer</t>
  </si>
  <si>
    <t xml:space="preserve">inkwb, layered black ink suspended in water, advanced phase of settling, side view, inside a clear water tank, thin translucent veils drifting horizontally above a dark bottom layer, monochrome, high contrast</t>
  </si>
  <si>
    <t xml:space="preserve">02_layered_ink/5-4.jpg</t>
  </si>
  <si>
    <t xml:space="preserve">droplet tendrils raining down and blurring into a dark bottom layer</t>
  </si>
  <si>
    <t xml:space="preserve">inkwb, layered black ink suspended in water, final phase of settling, side view, inside a clear water tank, droplet tendrils raining down and blurring into a dark bottom layer, monochrome, high contrast</t>
  </si>
  <si>
    <t xml:space="preserve">02_layered_ink/6-1.jpg</t>
  </si>
  <si>
    <t xml:space="preserve">a compact ink plume with droplet lobes drifting down at upper left, bright field</t>
  </si>
  <si>
    <t xml:space="preserve">inkwb, layered black ink suspended in water, early phase of settling, side view, inside a clear water tank, a compact ink plume with droplet lobes drifting down at upper left, bright field, monochrome, high contrast</t>
  </si>
  <si>
    <t xml:space="preserve">02_layered_ink/6-2.jpg</t>
  </si>
  <si>
    <t xml:space="preserve">a dark ink formation rising at lower left with curling wisps at the top</t>
  </si>
  <si>
    <t xml:space="preserve">inkwb, layered black ink suspended in water, developing phase of settling, side view, inside a clear water tank, a dark ink formation rising at lower left with curling wisps at the top, monochrome, high contrast</t>
  </si>
  <si>
    <t xml:space="preserve">02_layered_ink/6-3.jpg</t>
  </si>
  <si>
    <t xml:space="preserve">tangled ink swirls and ribbons spreading above a dense bottom mass</t>
  </si>
  <si>
    <t xml:space="preserve">inkwb, layered black ink suspended in water, advanced phase of settling, side view, inside a clear water tank, tangled ink swirls and ribbons spreading above a dense bottom mass, monochrome, high contrast</t>
  </si>
  <si>
    <t xml:space="preserve">02_layered_ink/6-4.jpg</t>
  </si>
  <si>
    <t xml:space="preserve">delicate looping ink threads and curls dispersing over a darkened base</t>
  </si>
  <si>
    <t xml:space="preserve">inkwb, layered black ink suspended in water, final phase of settling, side view, inside a clear water tank, delicate looping ink threads and curls dispersing over a darkened base, monochrome, high contrast</t>
  </si>
  <si>
    <t xml:space="preserve">Disturbed Ink</t>
  </si>
  <si>
    <t xml:space="preserve">03_disturbed_ink/1-1.jpg</t>
  </si>
  <si>
    <t xml:space="preserve">turbulent agitated black ink in water</t>
  </si>
  <si>
    <t xml:space="preserve">early phase of disturbance</t>
  </si>
  <si>
    <t xml:space="preserve">an agitated ink mound erupting from a dark base, fine jets rising into pale water</t>
  </si>
  <si>
    <t xml:space="preserve">inkwb, turbulent agitated black ink in water, early phase of disturbance, side view, inside a clear water tank, an agitated ink mound erupting from a dark base, fine jets rising into pale water, monochrome, high contrast</t>
  </si>
  <si>
    <t xml:space="preserve">03_disturbed_ink/1-2.jpg</t>
  </si>
  <si>
    <t xml:space="preserve">developing phase of disturbance</t>
  </si>
  <si>
    <t xml:space="preserve">murky ink clouds billowing upward, hazy gray turbulence over darkness</t>
  </si>
  <si>
    <t xml:space="preserve">inkwb, turbulent agitated black ink in water, developing phase of disturbance, side view, inside a clear water tank, murky ink clouds billowing upward, hazy gray turbulence over darkness, monochrome, high contrast</t>
  </si>
  <si>
    <t xml:space="preserve">03_disturbed_ink/1-3.jpg</t>
  </si>
  <si>
    <t xml:space="preserve">advanced phase of disturbance</t>
  </si>
  <si>
    <t xml:space="preserve">churned ink haze rising in soft billows, a pale opening at the top</t>
  </si>
  <si>
    <t xml:space="preserve">inkwb, turbulent agitated black ink in water, advanced phase of disturbance, side view, inside a clear water tank, churned ink haze rising in soft billows, a pale opening at the top, monochrome, high contrast</t>
  </si>
  <si>
    <t xml:space="preserve">03_disturbed_ink/1-4.jpg</t>
  </si>
  <si>
    <t xml:space="preserve">final phase of disturbance</t>
  </si>
  <si>
    <t xml:space="preserve">heavy churned murk filling the frame, a faint gray glow at the top</t>
  </si>
  <si>
    <t xml:space="preserve">inkwb, turbulent agitated black ink in water, final phase of disturbance, side view, inside a clear water tank, heavy churned murk filling the frame, a faint gray glow at the top, monochrome, high contrast</t>
  </si>
  <si>
    <t xml:space="preserve">03_disturbed_ink/2-1.jpg</t>
  </si>
  <si>
    <t xml:space="preserve">a turbulent ink burst with curling loops and jets at upper right, dark base below</t>
  </si>
  <si>
    <t xml:space="preserve">inkwb, turbulent agitated black ink in water, early phase of disturbance, side view, inside a clear water tank, a turbulent ink burst with curling loops and jets at upper right, dark base below, monochrome, high contrast</t>
  </si>
  <si>
    <t xml:space="preserve">03_disturbed_ink/2-2.jpg</t>
  </si>
  <si>
    <t xml:space="preserve">a smoky agitated ink cloud swelling across the left with hazy edges</t>
  </si>
  <si>
    <t xml:space="preserve">inkwb, turbulent agitated black ink in water, developing phase of disturbance, side view, inside a clear water tank, a smoky agitated ink cloud swelling across the left with hazy edges, monochrome, high contrast</t>
  </si>
  <si>
    <t xml:space="preserve">03_disturbed_ink/2-3.jpg</t>
  </si>
  <si>
    <t xml:space="preserve">churning gray murk with a bright hazy patch breaking through the center</t>
  </si>
  <si>
    <t xml:space="preserve">inkwb, turbulent agitated black ink in water, advanced phase of disturbance, side view, inside a clear water tank, churning gray murk with a bright hazy patch breaking through the center, monochrome, high contrast</t>
  </si>
  <si>
    <t xml:space="preserve">03_disturbed_ink/2-4.jpg</t>
  </si>
  <si>
    <t xml:space="preserve">dense murky darkness with faint pale turbulence at the top</t>
  </si>
  <si>
    <t xml:space="preserve">inkwb, turbulent agitated black ink in water, final phase of disturbance, side view, inside a clear water tank, dense murky darkness with faint pale turbulence at the top, monochrome, high contrast</t>
  </si>
  <si>
    <t xml:space="preserve">03_disturbed_ink/3-1.jpg</t>
  </si>
  <si>
    <t xml:space="preserve">an agitated ink eruption rising in ragged bursts from a dark mound</t>
  </si>
  <si>
    <t xml:space="preserve">inkwb, turbulent agitated black ink in water, early phase of disturbance, side view, inside a clear water tank, an agitated ink eruption rising in ragged bursts from a dark mound, monochrome, high contrast</t>
  </si>
  <si>
    <t xml:space="preserve">03_disturbed_ink/3-2.jpg</t>
  </si>
  <si>
    <t xml:space="preserve">a dense turbulent ink cloud boiling upward from a heavy dark base</t>
  </si>
  <si>
    <t xml:space="preserve">inkwb, turbulent agitated black ink in water, developing phase of disturbance, side view, inside a clear water tank, a dense turbulent ink cloud boiling upward from a heavy dark base, monochrome, high contrast</t>
  </si>
  <si>
    <t xml:space="preserve">03_disturbed_ink/3-3.jpg</t>
  </si>
  <si>
    <t xml:space="preserve">murky billows swelling from the left over a churned dark field</t>
  </si>
  <si>
    <t xml:space="preserve">inkwb, turbulent agitated black ink in water, advanced phase of disturbance, side view, inside a clear water tank, murky billows swelling from the left over a churned dark field, monochrome, high contrast</t>
  </si>
  <si>
    <t xml:space="preserve">03_disturbed_ink/3-4.jpg</t>
  </si>
  <si>
    <t xml:space="preserve">near-black churned murk with faint hazy gradations</t>
  </si>
  <si>
    <t xml:space="preserve">inkwb, turbulent agitated black ink in water, final phase of disturbance, side view, inside a clear water tank, near-black churned murk with faint hazy gradations, monochrome, high contrast</t>
  </si>
  <si>
    <t xml:space="preserve">03_disturbed_ink/4-1.jpg</t>
  </si>
  <si>
    <t xml:space="preserve">chaotic ink turbulence with tangled ribbons and dark streaks plunging downward</t>
  </si>
  <si>
    <t xml:space="preserve">inkwb, turbulent agitated black ink in water, early phase of disturbance, side view, inside a clear water tank, chaotic ink turbulence with tangled ribbons and dark streaks plunging downward, monochrome, high contrast</t>
  </si>
  <si>
    <t xml:space="preserve">03_disturbed_ink/4-2.jpg</t>
  </si>
  <si>
    <t xml:space="preserve">a churned ink chamber with dark plumes plunging through cloudy murk</t>
  </si>
  <si>
    <t xml:space="preserve">inkwb, turbulent agitated black ink in water, developing phase of disturbance, side view, inside a clear water tank, a churned ink chamber with dark plumes plunging through cloudy murk, monochrome, high contrast</t>
  </si>
  <si>
    <t xml:space="preserve">03_disturbed_ink/4-3.jpg</t>
  </si>
  <si>
    <t xml:space="preserve">agitated murk with tangled swirls and a dark central plunge</t>
  </si>
  <si>
    <t xml:space="preserve">inkwb, turbulent agitated black ink in water, advanced phase of disturbance, side view, inside a clear water tank, agitated murk with tangled swirls and a dark central plunge, monochrome, high contrast</t>
  </si>
  <si>
    <t xml:space="preserve">03_disturbed_ink/4-4.jpg</t>
  </si>
  <si>
    <t xml:space="preserve">a near-black agitated field with faint swirling traces</t>
  </si>
  <si>
    <t xml:space="preserve">inkwb, turbulent agitated black ink in water, final phase of disturbance, side view, inside a clear water tank, a near-black agitated field with faint swirling traces, monochrome, high contrast</t>
  </si>
  <si>
    <t xml:space="preserve">03_disturbed_ink/5-1.jpg</t>
  </si>
  <si>
    <t xml:space="preserve">churned translucent swirls filling the frame over a dark base</t>
  </si>
  <si>
    <t xml:space="preserve">inkwb, turbulent agitated black ink in water, early phase of disturbance, side view, inside a clear water tank, churned translucent swirls filling the frame over a dark base, monochrome, high contrast</t>
  </si>
  <si>
    <t xml:space="preserve">03_disturbed_ink/5-2.jpg</t>
  </si>
  <si>
    <t xml:space="preserve">cloudy agitated murk with a bright turbulent patch at upper right</t>
  </si>
  <si>
    <t xml:space="preserve">inkwb, turbulent agitated black ink in water, developing phase of disturbance, side view, inside a clear water tank, cloudy agitated murk with a bright turbulent patch at upper right, monochrome, high contrast</t>
  </si>
  <si>
    <t xml:space="preserve">03_disturbed_ink/5-3.jpg</t>
  </si>
  <si>
    <t xml:space="preserve">a dark churned field with a hazy diagonal swirl breaking through</t>
  </si>
  <si>
    <t xml:space="preserve">inkwb, turbulent agitated black ink in water, advanced phase of disturbance, side view, inside a clear water tank, a dark churned field with a hazy diagonal swirl breaking through, monochrome, high contrast</t>
  </si>
  <si>
    <t xml:space="preserve">03_disturbed_ink/5-4.jpg</t>
  </si>
  <si>
    <t xml:space="preserve">near-black murk with faint traces of agitation</t>
  </si>
  <si>
    <t xml:space="preserve">inkwb, turbulent agitated black ink in water, final phase of disturbance, side view, inside a clear water tank, near-black murk with faint traces of agitation, monochrome, high contrast</t>
  </si>
  <si>
    <t xml:space="preserve">03_disturbed_ink/6-1.jpg</t>
  </si>
  <si>
    <t xml:space="preserve">ragged turbulent ink clouds churning across the upper half, darkness below</t>
  </si>
  <si>
    <t xml:space="preserve">inkwb, turbulent agitated black ink in water, early phase of disturbance, side view, inside a clear water tank, ragged turbulent ink clouds churning across the upper half, darkness below, monochrome, high contrast</t>
  </si>
  <si>
    <t xml:space="preserve">03_disturbed_ink/6-2.jpg</t>
  </si>
  <si>
    <t xml:space="preserve">hazy churned billows glowing faintly above a dark field</t>
  </si>
  <si>
    <t xml:space="preserve">inkwb, turbulent agitated black ink in water, developing phase of disturbance, side view, inside a clear water tank, hazy churned billows glowing faintly above a dark field, monochrome, high contrast</t>
  </si>
  <si>
    <t xml:space="preserve">03_disturbed_ink/6-3.jpg</t>
  </si>
  <si>
    <t xml:space="preserve">dim agitated murk with soft pale turbulence at the top</t>
  </si>
  <si>
    <t xml:space="preserve">inkwb, turbulent agitated black ink in water, advanced phase of disturbance, side view, inside a clear water tank, dim agitated murk with soft pale turbulence at the top, monochrome, high contrast</t>
  </si>
  <si>
    <t xml:space="preserve">03_disturbed_ink/6-4.jpg</t>
  </si>
  <si>
    <t xml:space="preserve">an almost fully dark churned field with faint murky texture</t>
  </si>
  <si>
    <t xml:space="preserve">inkwb, turbulent agitated black ink in water, final phase of disturbance, side view, inside a clear water tank, an almost fully dark churned field with faint murky texture, monochrome, high contrast</t>
  </si>
  <si>
    <t xml:space="preserve">Gathering Ink</t>
  </si>
  <si>
    <t xml:space="preserve">04_gathering_ink/1-1.jpg</t>
  </si>
  <si>
    <t xml:space="preserve">black ink gathering and condensing in water</t>
  </si>
  <si>
    <t xml:space="preserve">early phase of gathering</t>
  </si>
  <si>
    <t xml:space="preserve">Pipette-drawn</t>
  </si>
  <si>
    <t xml:space="preserve">a dense ink mass gathered at the bottom with smoky wisps curling above</t>
  </si>
  <si>
    <t xml:space="preserve">inkwb, black ink gathering and condensing in water, early phase of gathering, side view, inside a clear water tank, a dense ink mass gathered at the bottom with smoky wisps curling above, monochrome, high contrast</t>
  </si>
  <si>
    <t xml:space="preserve">04_gathering_ink/1-2.jpg</t>
  </si>
  <si>
    <t xml:space="preserve">developing phase of gathering</t>
  </si>
  <si>
    <t xml:space="preserve">a heavy ink mound with a soft plume swelling upward, pale top corners</t>
  </si>
  <si>
    <t xml:space="preserve">inkwb, black ink gathering and condensing in water, developing phase of gathering, side view, inside a clear water tank, a heavy ink mound with a soft plume swelling upward, pale top corners, monochrome, high contrast</t>
  </si>
  <si>
    <t xml:space="preserve">04_gathering_ink/1-3.jpg</t>
  </si>
  <si>
    <t xml:space="preserve">advanced phase of gathering</t>
  </si>
  <si>
    <t xml:space="preserve">a dark gathered mass with hazy veils rising into gray murk</t>
  </si>
  <si>
    <t xml:space="preserve">inkwb, black ink gathering and condensing in water, advanced phase of gathering, side view, inside a clear water tank, a dark gathered mass with hazy veils rising into gray murk, monochrome, high contrast</t>
  </si>
  <si>
    <t xml:space="preserve">04_gathering_ink/1-4.jpg</t>
  </si>
  <si>
    <t xml:space="preserve">a heavy dark mass with a faint plume column rising at the center</t>
  </si>
  <si>
    <t xml:space="preserve">inkwb, black ink gathering and condensing in water, advanced phase of gathering, side view, inside a clear water tank, a heavy dark mass with a faint plume column rising at the center, monochrome, high contrast</t>
  </si>
  <si>
    <t xml:space="preserve">04_gathering_ink/1-5.jpg</t>
  </si>
  <si>
    <t xml:space="preserve">final phase of gathering</t>
  </si>
  <si>
    <t xml:space="preserve">a gathered ink mound with translucent swirls curling above, pale upper field</t>
  </si>
  <si>
    <t xml:space="preserve">inkwb, black ink gathering and condensing in water, final phase of gathering, side view, inside a clear water tank, a gathered ink mound with translucent swirls curling above, pale upper field, monochrome, high contrast</t>
  </si>
  <si>
    <t xml:space="preserve">04_gathering_ink/2-1.jpg</t>
  </si>
  <si>
    <t xml:space="preserve">a solid black gathered mass at the bottom, a scribbled tendril cluster rising at left</t>
  </si>
  <si>
    <t xml:space="preserve">inkwb, black ink gathering and condensing in water, early phase of gathering, side view, inside a clear water tank, a solid black gathered mass at the bottom, a scribbled tendril cluster rising at left, monochrome, high contrast</t>
  </si>
  <si>
    <t xml:space="preserve">04_gathering_ink/2-2.jpg</t>
  </si>
  <si>
    <t xml:space="preserve">a dense black mound with a tangled thread cluster rising from its crest</t>
  </si>
  <si>
    <t xml:space="preserve">inkwb, black ink gathering and condensing in water, developing phase of gathering, side view, inside a clear water tank, a dense black mound with a tangled thread cluster rising from its crest, monochrome, high contrast</t>
  </si>
  <si>
    <t xml:space="preserve">04_gathering_ink/2-3.jpg</t>
  </si>
  <si>
    <t xml:space="preserve">a gathered dark mass under a canopy of tangled ribbons and threads</t>
  </si>
  <si>
    <t xml:space="preserve">inkwb, black ink gathering and condensing in water, advanced phase of gathering, side view, inside a clear water tank, a gathered dark mass under a canopy of tangled ribbons and threads, monochrome, high contrast</t>
  </si>
  <si>
    <t xml:space="preserve">04_gathering_ink/2-4.jpg</t>
  </si>
  <si>
    <t xml:space="preserve">dense gray murk condensing into a heavy layered mass</t>
  </si>
  <si>
    <t xml:space="preserve">inkwb, black ink gathering and condensing in water, final phase of gathering, side view, inside a clear water tank, dense gray murk condensing into a heavy layered mass, monochrome, high contrast</t>
  </si>
  <si>
    <t xml:space="preserve">04_gathering_ink/3-1.jpg</t>
  </si>
  <si>
    <t xml:space="preserve">a solid ink mass on the left with a single curling wisp rising against pale water</t>
  </si>
  <si>
    <t xml:space="preserve">inkwb, black ink gathering and condensing in water, early phase of gathering, side view, inside a clear water tank, a solid ink mass on the left with a single curling wisp rising against pale water, monochrome, high contrast</t>
  </si>
  <si>
    <t xml:space="preserve">04_gathering_ink/3-2.jpg</t>
  </si>
  <si>
    <t xml:space="preserve">a settled dark mass with looping translucent ribbons rising at the left</t>
  </si>
  <si>
    <t xml:space="preserve">inkwb, black ink gathering and condensing in water, final phase of gathering, side view, inside a clear water tank, a settled dark mass with looping translucent ribbons rising at the left, monochrome, high contrast</t>
  </si>
  <si>
    <t xml:space="preserve">04_gathering_ink/4-1.jpg</t>
  </si>
  <si>
    <t xml:space="preserve">Reversed video frame</t>
  </si>
  <si>
    <t xml:space="preserve">gathered ink lobes at the bottom with translucent veils folding above</t>
  </si>
  <si>
    <t xml:space="preserve">inkwb, black ink gathering and condensing in water, early phase of gathering, side view, inside a clear water tank, gathered ink lobes at the bottom with translucent veils folding above, monochrome, high contrast</t>
  </si>
  <si>
    <t xml:space="preserve">04_gathering_ink/4-2.jpg</t>
  </si>
  <si>
    <t xml:space="preserve">a dense gathering mass with bold sweeping swirls rising through pale water</t>
  </si>
  <si>
    <t xml:space="preserve">inkwb, black ink gathering and condensing in water, final phase of gathering, side view, inside a clear water tank, a dense gathering mass with bold sweeping swirls rising through pale water, monochrome, high contrast</t>
  </si>
  <si>
    <t xml:space="preserve">04_gathering_ink/5-1.jpg</t>
  </si>
  <si>
    <t xml:space="preserve">inside a clear water tank; reflective tank floor below</t>
  </si>
  <si>
    <t xml:space="preserve">a compact black gathered mound with a thin jet rising from its center</t>
  </si>
  <si>
    <t xml:space="preserve">inkwb, black ink gathering and condensing in water, early phase of gathering, side view, inside a clear water tank, reflective tank floor below, a compact black gathered mound with a thin jet rising from its center, monochrome, high contrast</t>
  </si>
  <si>
    <t xml:space="preserve">04_gathering_ink/5-2.jpg</t>
  </si>
  <si>
    <t xml:space="preserve">a heavy rounded gathered mass with a twisting tendril column above</t>
  </si>
  <si>
    <t xml:space="preserve">inkwb, black ink gathering and condensing in water, developing phase of gathering, side view, inside a clear water tank, reflective tank floor below, a heavy rounded gathered mass with a twisting tendril column above, monochrome, high contrast</t>
  </si>
  <si>
    <t xml:space="preserve">04_gathering_ink/5-3.jpg</t>
  </si>
  <si>
    <t xml:space="preserve">a falling ink droplet cluster condensing into a lobed mass, bright field around it</t>
  </si>
  <si>
    <t xml:space="preserve">inkwb, black ink gathering and condensing in water, advanced phase of gathering, side view, inside a clear water tank, a falling ink droplet cluster condensing into a lobed mass, bright field around it, monochrome, high contrast</t>
  </si>
  <si>
    <t xml:space="preserve">04_gathering_ink/5-4.jpg</t>
  </si>
  <si>
    <t xml:space="preserve">a small compact ink clump sinking through bright water, wide negative space</t>
  </si>
  <si>
    <t xml:space="preserve">inkwb, black ink gathering and condensing in water, final phase of gathering, side view, inside a clear water tank, a small compact ink clump sinking through bright water, wide negative space, monochrome, high contrast</t>
  </si>
  <si>
    <t xml:space="preserve">04_gathering_ink/6-1.jpg</t>
  </si>
  <si>
    <t xml:space="preserve">inside a clear water tank; water surface line at the top</t>
  </si>
  <si>
    <t xml:space="preserve">a broad ink canopy sinking with a dense column plunging to the bottom</t>
  </si>
  <si>
    <t xml:space="preserve">inkwb, black ink gathering and condensing in water, early phase of gathering, side view, inside a clear water tank, water surface line at the top, a broad ink canopy sinking with a dense column plunging to the bottom, monochrome, high contrast</t>
  </si>
  <si>
    <t xml:space="preserve">04_gathering_ink/6-2.jpg</t>
  </si>
  <si>
    <t xml:space="preserve">an ink column connecting a surface canopy to the bottom, swirls around it</t>
  </si>
  <si>
    <t xml:space="preserve">inkwb, black ink gathering and condensing in water, developing phase of gathering, side view, inside a clear water tank, water surface line at the top, an ink column connecting a surface canopy to the bottom, swirls around it, monochrome, high contrast</t>
  </si>
  <si>
    <t xml:space="preserve">04_gathering_ink/6-3.jpg</t>
  </si>
  <si>
    <t xml:space="preserve">a heavy ink cluster dropping from a surface layer onto a gathered mound</t>
  </si>
  <si>
    <t xml:space="preserve">inkwb, black ink gathering and condensing in water, advanced phase of gathering, side view, inside a clear water tank, water surface line at the top, a heavy ink cluster dropping from a surface layer onto a gathered mound, monochrome, high contrast</t>
  </si>
  <si>
    <t xml:space="preserve">04_gathering_ink/6-4.jpg</t>
  </si>
  <si>
    <t xml:space="preserve">a vertical stacked column of ink droplets standing in bright water</t>
  </si>
  <si>
    <t xml:space="preserve">inkwb, black ink gathering and condensing in water, final phase of gathering, side view, inside a clear water tank, a vertical stacked column of ink droplets standing in bright water, monochrome, high contrast</t>
  </si>
  <si>
    <t xml:space="preserve">04_gathering_ink/7-1.jpg</t>
  </si>
  <si>
    <t xml:space="preserve">a broad ribbon of ink sweeping diagonally down toward a dark base</t>
  </si>
  <si>
    <t xml:space="preserve">inkwb, black ink gathering and condensing in water, early phase of gathering, side view, inside a clear water tank, a broad ribbon of ink sweeping diagonally down toward a dark base, monochrome, high contrast</t>
  </si>
  <si>
    <t xml:space="preserve">04_gathering_ink/7-2.jpg</t>
  </si>
  <si>
    <t xml:space="preserve">a translucent ink column twisting down to a settled dark layer</t>
  </si>
  <si>
    <t xml:space="preserve">inkwb, black ink gathering and condensing in water, developing phase of gathering, side view, inside a clear water tank, a translucent ink column twisting down to a settled dark layer, monochrome, high contrast</t>
  </si>
  <si>
    <t xml:space="preserve">04_gathering_ink/7-3.jpg</t>
  </si>
  <si>
    <t xml:space="preserve">a leaning ink plume gathering into a dense clump near the base</t>
  </si>
  <si>
    <t xml:space="preserve">inkwb, black ink gathering and condensing in water, advanced phase of gathering, side view, inside a clear water tank, a leaning ink plume gathering into a dense clump near the base, monochrome, high contrast</t>
  </si>
  <si>
    <t xml:space="preserve">04_gathering_ink/7-4.jpg</t>
  </si>
  <si>
    <t xml:space="preserve">a thick ink column condensing into a heavy lobed mass at its foot</t>
  </si>
  <si>
    <t xml:space="preserve">inkwb, black ink gathering and condensing in water, final phase of gathering, side view, inside a clear water tank, a thick ink column condensing into a heavy lobed mass at its foot, monochrome, high contrast</t>
  </si>
  <si>
    <t xml:space="preserve">04_gathering_ink/8-1.jpg</t>
  </si>
  <si>
    <t xml:space="preserve">a soft dark ink haze gathering in the lower left, diffuse gradient</t>
  </si>
  <si>
    <t xml:space="preserve">inkwb, black ink gathering and condensing in water, early phase of gathering, side view, inside a clear water tank, a soft dark ink haze gathering in the lower left, diffuse gradient, monochrome, high contrast</t>
  </si>
  <si>
    <t xml:space="preserve">04_gathering_ink/8-2.jpg</t>
  </si>
  <si>
    <t xml:space="preserve">an ink jet twisting down onto a dense gathered mound at the bottom</t>
  </si>
  <si>
    <t xml:space="preserve">inkwb, black ink gathering and condensing in water, developing phase of gathering, side view, inside a clear water tank, an ink jet twisting down onto a dense gathered mound at the bottom, monochrome, high contrast</t>
  </si>
  <si>
    <t xml:space="preserve">04_gathering_ink/8-3.jpg</t>
  </si>
  <si>
    <t xml:space="preserve">a heavy droplet column plunging straight down with lobes flaring at its base</t>
  </si>
  <si>
    <t xml:space="preserve">inkwb, black ink gathering and condensing in water, advanced phase of gathering, side view, inside a clear water tank, a heavy droplet column plunging straight down with lobes flaring at its base, monochrome, high contrast</t>
  </si>
  <si>
    <t xml:space="preserve">04_gathering_ink/8-4.jpg</t>
  </si>
  <si>
    <t xml:space="preserve">a compact droplet column hanging in bright water, wide empty space</t>
  </si>
  <si>
    <t xml:space="preserve">inkwb, black ink gathering and condensing in water, final phase of gathering, side view, inside a clear water tank, a compact droplet column hanging in bright water, wide empty space, monochrome, high contrast</t>
  </si>
  <si>
    <t xml:space="preserve">Ink Dataset Caption Summary</t>
  </si>
  <si>
    <t xml:space="preserve">Caption structure:</t>
  </si>
  <si>
    <t xml:space="preserve">inkwb, &lt;state phrase&gt;, &lt;phase phrase&gt;, &lt;viewpoint&gt;, &lt;container context&gt;, &lt;morphology&gt;, monochrome, high contrast</t>
  </si>
  <si>
    <t xml:space="preserve">Images</t>
  </si>
  <si>
    <t xml:space="preserve">Total</t>
  </si>
  <si>
    <t xml:space="preserve">early phase</t>
  </si>
  <si>
    <t xml:space="preserve">developing phase</t>
  </si>
  <si>
    <t xml:space="preserve">middle phase</t>
  </si>
  <si>
    <t xml:space="preserve">advanced phase</t>
  </si>
  <si>
    <t xml:space="preserve">final phase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</si>
</sst>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Helvetica Neue"/>
      <family val="0"/>
      <charset val="1"/>
    </font>
    <font>
      <sz val="10"/>
      <name val="Helvetica Neue"/>
      <family val="0"/>
      <charset val="1"/>
    </font>
    <font>
      <b val="true"/>
      <sz val="13"/>
      <name val="Helvetica Neue"/>
      <family val="0"/>
      <charset val="1"/>
    </font>
    <font>
      <b val="true"/>
      <sz val="11"/>
      <color rgb="FFFFFFFF"/>
      <name val="Helvetica Neue"/>
      <family val="0"/>
      <charset val="1"/>
    </font>
    <font>
      <b val="true"/>
      <sz val="10"/>
      <name val="Helvetica Neue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EAF1FB"/>
        <bgColor rgb="FFEAF7EF"/>
      </patternFill>
    </fill>
    <fill>
      <patternFill patternType="solid">
        <fgColor rgb="FFEAF7EF"/>
        <bgColor rgb="FFEAF1FB"/>
      </patternFill>
    </fill>
    <fill>
      <patternFill patternType="solid">
        <fgColor rgb="FFFBEFEA"/>
        <bgColor rgb="FFF3EAFB"/>
      </patternFill>
    </fill>
    <fill>
      <patternFill patternType="solid">
        <fgColor rgb="FFF3EAFB"/>
        <bgColor rgb="FFEAF1FB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2937"/>
          <bgColor rgb="FF000000"/>
        </patternFill>
      </fill>
    </dxf>
    <dxf>
      <fill>
        <patternFill patternType="solid">
          <fgColor rgb="FFEAF1FB"/>
          <bgColor rgb="FF000000"/>
        </patternFill>
      </fill>
    </dxf>
    <dxf>
      <fill>
        <patternFill patternType="solid">
          <fgColor rgb="FFEAF7EF"/>
          <bgColor rgb="FF000000"/>
        </patternFill>
      </fill>
    </dxf>
    <dxf>
      <fill>
        <patternFill patternType="solid">
          <fgColor rgb="FFF3EAFB"/>
          <bgColor rgb="FF000000"/>
        </patternFill>
      </fill>
    </dxf>
    <dxf>
      <fill>
        <patternFill patternType="solid">
          <fgColor rgb="FFFBEFE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FEA"/>
      <rgbColor rgb="FFEAF7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B"/>
      <rgbColor rgb="FFF3EAF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1"/>
    <col collapsed="false" customWidth="true" hidden="false" outlineLevel="0" max="3" min="3" style="1" width="7"/>
    <col collapsed="false" customWidth="true" hidden="false" outlineLevel="0" max="5" min="4" style="1" width="32"/>
    <col collapsed="false" customWidth="true" hidden="false" outlineLevel="0" max="6" min="6" style="1" width="24"/>
    <col collapsed="false" customWidth="true" hidden="false" outlineLevel="0" max="7" min="7" style="1" width="14"/>
    <col collapsed="false" customWidth="true" hidden="false" outlineLevel="0" max="8" min="8" style="1" width="30"/>
    <col collapsed="false" customWidth="true" hidden="false" outlineLevel="0" max="9" min="9" style="1" width="20"/>
    <col collapsed="false" customWidth="true" hidden="false" outlineLevel="0" max="10" min="10" style="1" width="22"/>
    <col collapsed="false" customWidth="true" hidden="false" outlineLevel="0" max="11" min="11" style="1" width="90"/>
  </cols>
  <sheetData>
    <row r="1" customFormat="false" ht="23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34.5" hidden="false" customHeight="true" outlineLevel="0" collapsed="false">
      <c r="A2" s="3" t="s">
        <v>12</v>
      </c>
      <c r="B2" s="3" t="n">
        <v>1</v>
      </c>
      <c r="C2" s="3" t="n">
        <v>1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</row>
    <row r="3" customFormat="false" ht="34.5" hidden="false" customHeight="true" outlineLevel="0" collapsed="false">
      <c r="A3" s="3" t="s">
        <v>12</v>
      </c>
      <c r="B3" s="3" t="n">
        <v>1</v>
      </c>
      <c r="C3" s="3" t="n">
        <v>2</v>
      </c>
      <c r="D3" s="3" t="s">
        <v>22</v>
      </c>
      <c r="E3" s="3" t="s">
        <v>14</v>
      </c>
      <c r="F3" s="3" t="s">
        <v>23</v>
      </c>
      <c r="G3" s="3" t="s">
        <v>16</v>
      </c>
      <c r="H3" s="3" t="s">
        <v>17</v>
      </c>
      <c r="I3" s="3" t="s">
        <v>18</v>
      </c>
      <c r="J3" s="3" t="s">
        <v>24</v>
      </c>
      <c r="K3" s="3" t="s">
        <v>20</v>
      </c>
      <c r="L3" s="3" t="s">
        <v>25</v>
      </c>
    </row>
    <row r="4" customFormat="false" ht="34.5" hidden="false" customHeight="true" outlineLevel="0" collapsed="false">
      <c r="A4" s="3" t="s">
        <v>12</v>
      </c>
      <c r="B4" s="3" t="n">
        <v>1</v>
      </c>
      <c r="C4" s="3" t="n">
        <v>3</v>
      </c>
      <c r="D4" s="3" t="s">
        <v>26</v>
      </c>
      <c r="E4" s="3" t="s">
        <v>14</v>
      </c>
      <c r="F4" s="3" t="s">
        <v>27</v>
      </c>
      <c r="G4" s="3" t="s">
        <v>16</v>
      </c>
      <c r="H4" s="3" t="s">
        <v>17</v>
      </c>
      <c r="I4" s="3" t="s">
        <v>18</v>
      </c>
      <c r="J4" s="3" t="s">
        <v>28</v>
      </c>
      <c r="K4" s="3" t="s">
        <v>20</v>
      </c>
      <c r="L4" s="3" t="s">
        <v>29</v>
      </c>
    </row>
    <row r="5" customFormat="false" ht="34.5" hidden="false" customHeight="true" outlineLevel="0" collapsed="false">
      <c r="A5" s="3" t="s">
        <v>12</v>
      </c>
      <c r="B5" s="3" t="n">
        <v>1</v>
      </c>
      <c r="C5" s="3" t="n">
        <v>4</v>
      </c>
      <c r="D5" s="3" t="s">
        <v>30</v>
      </c>
      <c r="E5" s="3" t="s">
        <v>14</v>
      </c>
      <c r="F5" s="3" t="s">
        <v>31</v>
      </c>
      <c r="G5" s="3" t="s">
        <v>16</v>
      </c>
      <c r="H5" s="3" t="s">
        <v>17</v>
      </c>
      <c r="I5" s="3" t="s">
        <v>18</v>
      </c>
      <c r="J5" s="3" t="s">
        <v>32</v>
      </c>
      <c r="K5" s="3" t="s">
        <v>20</v>
      </c>
      <c r="L5" s="3" t="s">
        <v>33</v>
      </c>
    </row>
    <row r="6" customFormat="false" ht="34.5" hidden="false" customHeight="true" outlineLevel="0" collapsed="false">
      <c r="A6" s="3" t="s">
        <v>12</v>
      </c>
      <c r="B6" s="3" t="n">
        <v>2</v>
      </c>
      <c r="C6" s="3" t="n">
        <v>1</v>
      </c>
      <c r="D6" s="3" t="s">
        <v>34</v>
      </c>
      <c r="E6" s="3" t="s">
        <v>14</v>
      </c>
      <c r="F6" s="3" t="s">
        <v>15</v>
      </c>
      <c r="G6" s="3" t="s">
        <v>16</v>
      </c>
      <c r="H6" s="3" t="s">
        <v>35</v>
      </c>
      <c r="I6" s="3" t="s">
        <v>18</v>
      </c>
      <c r="J6" s="3" t="s">
        <v>36</v>
      </c>
      <c r="K6" s="3" t="s">
        <v>20</v>
      </c>
      <c r="L6" s="3" t="s">
        <v>37</v>
      </c>
    </row>
    <row r="7" customFormat="false" ht="34.5" hidden="false" customHeight="true" outlineLevel="0" collapsed="false">
      <c r="A7" s="3" t="s">
        <v>12</v>
      </c>
      <c r="B7" s="3" t="n">
        <v>2</v>
      </c>
      <c r="C7" s="3" t="n">
        <v>2</v>
      </c>
      <c r="D7" s="3" t="s">
        <v>38</v>
      </c>
      <c r="E7" s="3" t="s">
        <v>14</v>
      </c>
      <c r="F7" s="3" t="s">
        <v>23</v>
      </c>
      <c r="G7" s="3" t="s">
        <v>16</v>
      </c>
      <c r="H7" s="3" t="s">
        <v>17</v>
      </c>
      <c r="I7" s="3" t="s">
        <v>18</v>
      </c>
      <c r="J7" s="3" t="s">
        <v>39</v>
      </c>
      <c r="K7" s="3" t="s">
        <v>20</v>
      </c>
      <c r="L7" s="3" t="s">
        <v>40</v>
      </c>
    </row>
    <row r="8" customFormat="false" ht="34.5" hidden="false" customHeight="true" outlineLevel="0" collapsed="false">
      <c r="A8" s="3" t="s">
        <v>12</v>
      </c>
      <c r="B8" s="3" t="n">
        <v>2</v>
      </c>
      <c r="C8" s="3" t="n">
        <v>3</v>
      </c>
      <c r="D8" s="3" t="s">
        <v>41</v>
      </c>
      <c r="E8" s="3" t="s">
        <v>14</v>
      </c>
      <c r="F8" s="3" t="s">
        <v>27</v>
      </c>
      <c r="G8" s="3" t="s">
        <v>16</v>
      </c>
      <c r="H8" s="3" t="s">
        <v>17</v>
      </c>
      <c r="I8" s="3" t="s">
        <v>18</v>
      </c>
      <c r="J8" s="3" t="s">
        <v>42</v>
      </c>
      <c r="K8" s="3" t="s">
        <v>20</v>
      </c>
      <c r="L8" s="3" t="s">
        <v>43</v>
      </c>
    </row>
    <row r="9" customFormat="false" ht="34.5" hidden="false" customHeight="true" outlineLevel="0" collapsed="false">
      <c r="A9" s="3" t="s">
        <v>12</v>
      </c>
      <c r="B9" s="3" t="n">
        <v>2</v>
      </c>
      <c r="C9" s="3" t="n">
        <v>4</v>
      </c>
      <c r="D9" s="3" t="s">
        <v>44</v>
      </c>
      <c r="E9" s="3" t="s">
        <v>14</v>
      </c>
      <c r="F9" s="3" t="s">
        <v>31</v>
      </c>
      <c r="G9" s="3" t="s">
        <v>16</v>
      </c>
      <c r="H9" s="3" t="s">
        <v>17</v>
      </c>
      <c r="I9" s="3" t="s">
        <v>18</v>
      </c>
      <c r="J9" s="3" t="s">
        <v>45</v>
      </c>
      <c r="K9" s="3" t="s">
        <v>20</v>
      </c>
      <c r="L9" s="3" t="s">
        <v>46</v>
      </c>
    </row>
    <row r="10" customFormat="false" ht="34.5" hidden="false" customHeight="true" outlineLevel="0" collapsed="false">
      <c r="A10" s="3" t="s">
        <v>12</v>
      </c>
      <c r="B10" s="3" t="n">
        <v>3</v>
      </c>
      <c r="C10" s="3" t="n">
        <v>1</v>
      </c>
      <c r="D10" s="3" t="s">
        <v>47</v>
      </c>
      <c r="E10" s="3" t="s">
        <v>14</v>
      </c>
      <c r="F10" s="3" t="s">
        <v>15</v>
      </c>
      <c r="G10" s="3" t="s">
        <v>16</v>
      </c>
      <c r="H10" s="3" t="s">
        <v>35</v>
      </c>
      <c r="I10" s="3" t="s">
        <v>18</v>
      </c>
      <c r="J10" s="3" t="s">
        <v>48</v>
      </c>
      <c r="K10" s="3" t="s">
        <v>20</v>
      </c>
      <c r="L10" s="3" t="s">
        <v>49</v>
      </c>
    </row>
    <row r="11" customFormat="false" ht="34.5" hidden="false" customHeight="true" outlineLevel="0" collapsed="false">
      <c r="A11" s="3" t="s">
        <v>12</v>
      </c>
      <c r="B11" s="3" t="n">
        <v>3</v>
      </c>
      <c r="C11" s="3" t="n">
        <v>2</v>
      </c>
      <c r="D11" s="3" t="s">
        <v>50</v>
      </c>
      <c r="E11" s="3" t="s">
        <v>14</v>
      </c>
      <c r="F11" s="3" t="s">
        <v>23</v>
      </c>
      <c r="G11" s="3" t="s">
        <v>16</v>
      </c>
      <c r="H11" s="3" t="s">
        <v>17</v>
      </c>
      <c r="I11" s="3" t="s">
        <v>18</v>
      </c>
      <c r="J11" s="3" t="s">
        <v>51</v>
      </c>
      <c r="K11" s="3" t="s">
        <v>20</v>
      </c>
      <c r="L11" s="3" t="s">
        <v>52</v>
      </c>
    </row>
    <row r="12" customFormat="false" ht="34.5" hidden="false" customHeight="true" outlineLevel="0" collapsed="false">
      <c r="A12" s="3" t="s">
        <v>12</v>
      </c>
      <c r="B12" s="3" t="n">
        <v>3</v>
      </c>
      <c r="C12" s="3" t="n">
        <v>3</v>
      </c>
      <c r="D12" s="3" t="s">
        <v>53</v>
      </c>
      <c r="E12" s="3" t="s">
        <v>14</v>
      </c>
      <c r="F12" s="3" t="s">
        <v>27</v>
      </c>
      <c r="G12" s="3" t="s">
        <v>16</v>
      </c>
      <c r="H12" s="3" t="s">
        <v>17</v>
      </c>
      <c r="I12" s="3" t="s">
        <v>18</v>
      </c>
      <c r="J12" s="3" t="s">
        <v>54</v>
      </c>
      <c r="K12" s="3" t="s">
        <v>20</v>
      </c>
      <c r="L12" s="3" t="s">
        <v>55</v>
      </c>
    </row>
    <row r="13" customFormat="false" ht="34.5" hidden="false" customHeight="true" outlineLevel="0" collapsed="false">
      <c r="A13" s="3" t="s">
        <v>12</v>
      </c>
      <c r="B13" s="3" t="n">
        <v>3</v>
      </c>
      <c r="C13" s="3" t="n">
        <v>4</v>
      </c>
      <c r="D13" s="3" t="s">
        <v>56</v>
      </c>
      <c r="E13" s="3" t="s">
        <v>14</v>
      </c>
      <c r="F13" s="3" t="s">
        <v>31</v>
      </c>
      <c r="G13" s="3" t="s">
        <v>16</v>
      </c>
      <c r="H13" s="3" t="s">
        <v>17</v>
      </c>
      <c r="I13" s="3" t="s">
        <v>18</v>
      </c>
      <c r="J13" s="3" t="s">
        <v>57</v>
      </c>
      <c r="K13" s="3" t="s">
        <v>20</v>
      </c>
      <c r="L13" s="3" t="s">
        <v>58</v>
      </c>
    </row>
    <row r="14" customFormat="false" ht="34.5" hidden="false" customHeight="true" outlineLevel="0" collapsed="false">
      <c r="A14" s="3" t="s">
        <v>12</v>
      </c>
      <c r="B14" s="3" t="n">
        <v>4</v>
      </c>
      <c r="C14" s="3" t="n">
        <v>1</v>
      </c>
      <c r="D14" s="3" t="s">
        <v>59</v>
      </c>
      <c r="E14" s="3" t="s">
        <v>14</v>
      </c>
      <c r="F14" s="3" t="s">
        <v>15</v>
      </c>
      <c r="G14" s="3" t="s">
        <v>16</v>
      </c>
      <c r="H14" s="3" t="s">
        <v>35</v>
      </c>
      <c r="I14" s="3" t="s">
        <v>18</v>
      </c>
      <c r="J14" s="3" t="s">
        <v>60</v>
      </c>
      <c r="K14" s="3" t="s">
        <v>20</v>
      </c>
      <c r="L14" s="3" t="s">
        <v>61</v>
      </c>
    </row>
    <row r="15" customFormat="false" ht="34.5" hidden="false" customHeight="true" outlineLevel="0" collapsed="false">
      <c r="A15" s="3" t="s">
        <v>12</v>
      </c>
      <c r="B15" s="3" t="n">
        <v>4</v>
      </c>
      <c r="C15" s="3" t="n">
        <v>2</v>
      </c>
      <c r="D15" s="3" t="s">
        <v>62</v>
      </c>
      <c r="E15" s="3" t="s">
        <v>14</v>
      </c>
      <c r="F15" s="3" t="s">
        <v>23</v>
      </c>
      <c r="G15" s="3" t="s">
        <v>16</v>
      </c>
      <c r="H15" s="3" t="s">
        <v>17</v>
      </c>
      <c r="I15" s="3" t="s">
        <v>18</v>
      </c>
      <c r="J15" s="3" t="s">
        <v>63</v>
      </c>
      <c r="K15" s="3" t="s">
        <v>20</v>
      </c>
      <c r="L15" s="3" t="s">
        <v>64</v>
      </c>
    </row>
    <row r="16" customFormat="false" ht="34.5" hidden="false" customHeight="true" outlineLevel="0" collapsed="false">
      <c r="A16" s="3" t="s">
        <v>12</v>
      </c>
      <c r="B16" s="3" t="n">
        <v>4</v>
      </c>
      <c r="C16" s="3" t="n">
        <v>3</v>
      </c>
      <c r="D16" s="3" t="s">
        <v>65</v>
      </c>
      <c r="E16" s="3" t="s">
        <v>14</v>
      </c>
      <c r="F16" s="3" t="s">
        <v>27</v>
      </c>
      <c r="G16" s="3" t="s">
        <v>16</v>
      </c>
      <c r="H16" s="3" t="s">
        <v>17</v>
      </c>
      <c r="I16" s="3" t="s">
        <v>18</v>
      </c>
      <c r="J16" s="3" t="s">
        <v>66</v>
      </c>
      <c r="K16" s="3" t="s">
        <v>20</v>
      </c>
      <c r="L16" s="3" t="s">
        <v>67</v>
      </c>
    </row>
    <row r="17" customFormat="false" ht="34.5" hidden="false" customHeight="true" outlineLevel="0" collapsed="false">
      <c r="A17" s="3" t="s">
        <v>12</v>
      </c>
      <c r="B17" s="3" t="n">
        <v>4</v>
      </c>
      <c r="C17" s="3" t="n">
        <v>4</v>
      </c>
      <c r="D17" s="3" t="s">
        <v>68</v>
      </c>
      <c r="E17" s="3" t="s">
        <v>14</v>
      </c>
      <c r="F17" s="3" t="s">
        <v>31</v>
      </c>
      <c r="G17" s="3" t="s">
        <v>16</v>
      </c>
      <c r="H17" s="3" t="s">
        <v>17</v>
      </c>
      <c r="I17" s="3" t="s">
        <v>18</v>
      </c>
      <c r="J17" s="3" t="s">
        <v>69</v>
      </c>
      <c r="K17" s="3" t="s">
        <v>20</v>
      </c>
      <c r="L17" s="3" t="s">
        <v>70</v>
      </c>
    </row>
    <row r="18" customFormat="false" ht="34.5" hidden="false" customHeight="true" outlineLevel="0" collapsed="false">
      <c r="A18" s="3" t="s">
        <v>12</v>
      </c>
      <c r="B18" s="3" t="n">
        <v>5</v>
      </c>
      <c r="C18" s="3" t="n">
        <v>1</v>
      </c>
      <c r="D18" s="3" t="s">
        <v>71</v>
      </c>
      <c r="E18" s="3" t="s">
        <v>14</v>
      </c>
      <c r="F18" s="3" t="s">
        <v>15</v>
      </c>
      <c r="G18" s="3" t="s">
        <v>16</v>
      </c>
      <c r="H18" s="3" t="s">
        <v>35</v>
      </c>
      <c r="I18" s="3" t="s">
        <v>18</v>
      </c>
      <c r="J18" s="3" t="s">
        <v>72</v>
      </c>
      <c r="K18" s="3" t="s">
        <v>20</v>
      </c>
      <c r="L18" s="3" t="s">
        <v>73</v>
      </c>
    </row>
    <row r="19" customFormat="false" ht="34.5" hidden="false" customHeight="true" outlineLevel="0" collapsed="false">
      <c r="A19" s="3" t="s">
        <v>12</v>
      </c>
      <c r="B19" s="3" t="n">
        <v>5</v>
      </c>
      <c r="C19" s="3" t="n">
        <v>2</v>
      </c>
      <c r="D19" s="3" t="s">
        <v>74</v>
      </c>
      <c r="E19" s="3" t="s">
        <v>14</v>
      </c>
      <c r="F19" s="3" t="s">
        <v>23</v>
      </c>
      <c r="G19" s="3" t="s">
        <v>16</v>
      </c>
      <c r="H19" s="3" t="s">
        <v>17</v>
      </c>
      <c r="I19" s="3" t="s">
        <v>18</v>
      </c>
      <c r="J19" s="3" t="s">
        <v>75</v>
      </c>
      <c r="K19" s="3" t="s">
        <v>20</v>
      </c>
      <c r="L19" s="3" t="s">
        <v>76</v>
      </c>
    </row>
    <row r="20" customFormat="false" ht="34.5" hidden="false" customHeight="true" outlineLevel="0" collapsed="false">
      <c r="A20" s="3" t="s">
        <v>12</v>
      </c>
      <c r="B20" s="3" t="n">
        <v>5</v>
      </c>
      <c r="C20" s="3" t="n">
        <v>3</v>
      </c>
      <c r="D20" s="3" t="s">
        <v>77</v>
      </c>
      <c r="E20" s="3" t="s">
        <v>14</v>
      </c>
      <c r="F20" s="3" t="s">
        <v>27</v>
      </c>
      <c r="G20" s="3" t="s">
        <v>16</v>
      </c>
      <c r="H20" s="3" t="s">
        <v>17</v>
      </c>
      <c r="I20" s="3" t="s">
        <v>18</v>
      </c>
      <c r="J20" s="3" t="s">
        <v>78</v>
      </c>
      <c r="K20" s="3" t="s">
        <v>20</v>
      </c>
      <c r="L20" s="3" t="s">
        <v>79</v>
      </c>
    </row>
    <row r="21" customFormat="false" ht="34.5" hidden="false" customHeight="true" outlineLevel="0" collapsed="false">
      <c r="A21" s="3" t="s">
        <v>12</v>
      </c>
      <c r="B21" s="3" t="n">
        <v>5</v>
      </c>
      <c r="C21" s="3" t="n">
        <v>4</v>
      </c>
      <c r="D21" s="3" t="s">
        <v>80</v>
      </c>
      <c r="E21" s="3" t="s">
        <v>14</v>
      </c>
      <c r="F21" s="3" t="s">
        <v>31</v>
      </c>
      <c r="G21" s="3" t="s">
        <v>16</v>
      </c>
      <c r="H21" s="3" t="s">
        <v>17</v>
      </c>
      <c r="I21" s="3" t="s">
        <v>18</v>
      </c>
      <c r="J21" s="3" t="s">
        <v>81</v>
      </c>
      <c r="K21" s="3" t="s">
        <v>20</v>
      </c>
      <c r="L21" s="3" t="s">
        <v>82</v>
      </c>
    </row>
    <row r="22" customFormat="false" ht="34.5" hidden="false" customHeight="true" outlineLevel="0" collapsed="false">
      <c r="A22" s="3" t="s">
        <v>12</v>
      </c>
      <c r="B22" s="3" t="n">
        <v>6</v>
      </c>
      <c r="C22" s="3" t="n">
        <v>1</v>
      </c>
      <c r="D22" s="3" t="s">
        <v>83</v>
      </c>
      <c r="E22" s="3" t="s">
        <v>14</v>
      </c>
      <c r="F22" s="3" t="s">
        <v>15</v>
      </c>
      <c r="G22" s="3" t="s">
        <v>16</v>
      </c>
      <c r="H22" s="3" t="s">
        <v>35</v>
      </c>
      <c r="I22" s="3" t="s">
        <v>18</v>
      </c>
      <c r="J22" s="3" t="s">
        <v>84</v>
      </c>
      <c r="K22" s="3" t="s">
        <v>20</v>
      </c>
      <c r="L22" s="3" t="s">
        <v>85</v>
      </c>
    </row>
    <row r="23" customFormat="false" ht="34.5" hidden="false" customHeight="true" outlineLevel="0" collapsed="false">
      <c r="A23" s="3" t="s">
        <v>12</v>
      </c>
      <c r="B23" s="3" t="n">
        <v>6</v>
      </c>
      <c r="C23" s="3" t="n">
        <v>2</v>
      </c>
      <c r="D23" s="3" t="s">
        <v>86</v>
      </c>
      <c r="E23" s="3" t="s">
        <v>14</v>
      </c>
      <c r="F23" s="3" t="s">
        <v>23</v>
      </c>
      <c r="G23" s="3" t="s">
        <v>16</v>
      </c>
      <c r="H23" s="3" t="s">
        <v>35</v>
      </c>
      <c r="I23" s="3" t="s">
        <v>18</v>
      </c>
      <c r="J23" s="3" t="s">
        <v>87</v>
      </c>
      <c r="K23" s="3" t="s">
        <v>20</v>
      </c>
      <c r="L23" s="3" t="s">
        <v>88</v>
      </c>
    </row>
    <row r="24" customFormat="false" ht="34.5" hidden="false" customHeight="true" outlineLevel="0" collapsed="false">
      <c r="A24" s="3" t="s">
        <v>12</v>
      </c>
      <c r="B24" s="3" t="n">
        <v>6</v>
      </c>
      <c r="C24" s="3" t="n">
        <v>3</v>
      </c>
      <c r="D24" s="3" t="s">
        <v>89</v>
      </c>
      <c r="E24" s="3" t="s">
        <v>14</v>
      </c>
      <c r="F24" s="3" t="s">
        <v>27</v>
      </c>
      <c r="G24" s="3" t="s">
        <v>16</v>
      </c>
      <c r="H24" s="3" t="s">
        <v>17</v>
      </c>
      <c r="I24" s="3" t="s">
        <v>18</v>
      </c>
      <c r="J24" s="3" t="s">
        <v>90</v>
      </c>
      <c r="K24" s="3" t="s">
        <v>20</v>
      </c>
      <c r="L24" s="3" t="s">
        <v>91</v>
      </c>
    </row>
    <row r="25" customFormat="false" ht="34.5" hidden="false" customHeight="true" outlineLevel="0" collapsed="false">
      <c r="A25" s="3" t="s">
        <v>12</v>
      </c>
      <c r="B25" s="3" t="n">
        <v>6</v>
      </c>
      <c r="C25" s="3" t="n">
        <v>4</v>
      </c>
      <c r="D25" s="3" t="s">
        <v>92</v>
      </c>
      <c r="E25" s="3" t="s">
        <v>14</v>
      </c>
      <c r="F25" s="3" t="s">
        <v>31</v>
      </c>
      <c r="G25" s="3" t="s">
        <v>16</v>
      </c>
      <c r="H25" s="3" t="s">
        <v>17</v>
      </c>
      <c r="I25" s="3" t="s">
        <v>18</v>
      </c>
      <c r="J25" s="3" t="s">
        <v>93</v>
      </c>
      <c r="K25" s="3" t="s">
        <v>20</v>
      </c>
      <c r="L25" s="3" t="s">
        <v>94</v>
      </c>
    </row>
    <row r="26" customFormat="false" ht="34.5" hidden="false" customHeight="true" outlineLevel="0" collapsed="false">
      <c r="A26" s="4" t="s">
        <v>95</v>
      </c>
      <c r="B26" s="4" t="n">
        <v>1</v>
      </c>
      <c r="C26" s="4" t="n">
        <v>1</v>
      </c>
      <c r="D26" s="4" t="s">
        <v>96</v>
      </c>
      <c r="E26" s="4" t="s">
        <v>97</v>
      </c>
      <c r="F26" s="4" t="s">
        <v>98</v>
      </c>
      <c r="G26" s="4" t="s">
        <v>99</v>
      </c>
      <c r="H26" s="4" t="s">
        <v>100</v>
      </c>
      <c r="I26" s="4" t="s">
        <v>18</v>
      </c>
      <c r="J26" s="4" t="s">
        <v>101</v>
      </c>
      <c r="K26" s="4" t="s">
        <v>20</v>
      </c>
      <c r="L26" s="4" t="s">
        <v>102</v>
      </c>
    </row>
    <row r="27" customFormat="false" ht="34.5" hidden="false" customHeight="true" outlineLevel="0" collapsed="false">
      <c r="A27" s="4" t="s">
        <v>95</v>
      </c>
      <c r="B27" s="4" t="n">
        <v>1</v>
      </c>
      <c r="C27" s="4" t="n">
        <v>2</v>
      </c>
      <c r="D27" s="4" t="s">
        <v>103</v>
      </c>
      <c r="E27" s="4" t="s">
        <v>97</v>
      </c>
      <c r="F27" s="4" t="s">
        <v>104</v>
      </c>
      <c r="G27" s="4" t="s">
        <v>99</v>
      </c>
      <c r="H27" s="4" t="s">
        <v>100</v>
      </c>
      <c r="I27" s="4" t="s">
        <v>18</v>
      </c>
      <c r="J27" s="4" t="s">
        <v>105</v>
      </c>
      <c r="K27" s="4" t="s">
        <v>20</v>
      </c>
      <c r="L27" s="4" t="s">
        <v>106</v>
      </c>
    </row>
    <row r="28" customFormat="false" ht="34.5" hidden="false" customHeight="true" outlineLevel="0" collapsed="false">
      <c r="A28" s="4" t="s">
        <v>95</v>
      </c>
      <c r="B28" s="4" t="n">
        <v>1</v>
      </c>
      <c r="C28" s="4" t="n">
        <v>3</v>
      </c>
      <c r="D28" s="4" t="s">
        <v>107</v>
      </c>
      <c r="E28" s="4" t="s">
        <v>97</v>
      </c>
      <c r="F28" s="4" t="s">
        <v>108</v>
      </c>
      <c r="G28" s="4" t="s">
        <v>99</v>
      </c>
      <c r="H28" s="4" t="s">
        <v>100</v>
      </c>
      <c r="I28" s="4" t="s">
        <v>18</v>
      </c>
      <c r="J28" s="4" t="s">
        <v>109</v>
      </c>
      <c r="K28" s="4" t="s">
        <v>20</v>
      </c>
      <c r="L28" s="4" t="s">
        <v>110</v>
      </c>
    </row>
    <row r="29" customFormat="false" ht="34.5" hidden="false" customHeight="true" outlineLevel="0" collapsed="false">
      <c r="A29" s="4" t="s">
        <v>95</v>
      </c>
      <c r="B29" s="4" t="n">
        <v>1</v>
      </c>
      <c r="C29" s="4" t="n">
        <v>4</v>
      </c>
      <c r="D29" s="4" t="s">
        <v>111</v>
      </c>
      <c r="E29" s="4" t="s">
        <v>97</v>
      </c>
      <c r="F29" s="4" t="s">
        <v>112</v>
      </c>
      <c r="G29" s="4" t="s">
        <v>99</v>
      </c>
      <c r="H29" s="4" t="s">
        <v>100</v>
      </c>
      <c r="I29" s="4" t="s">
        <v>18</v>
      </c>
      <c r="J29" s="4" t="s">
        <v>113</v>
      </c>
      <c r="K29" s="4" t="s">
        <v>20</v>
      </c>
      <c r="L29" s="4" t="s">
        <v>114</v>
      </c>
    </row>
    <row r="30" customFormat="false" ht="34.5" hidden="false" customHeight="true" outlineLevel="0" collapsed="false">
      <c r="A30" s="4" t="s">
        <v>95</v>
      </c>
      <c r="B30" s="4" t="n">
        <v>2</v>
      </c>
      <c r="C30" s="4" t="n">
        <v>1</v>
      </c>
      <c r="D30" s="4" t="s">
        <v>115</v>
      </c>
      <c r="E30" s="4" t="s">
        <v>97</v>
      </c>
      <c r="F30" s="4" t="s">
        <v>98</v>
      </c>
      <c r="G30" s="4" t="s">
        <v>99</v>
      </c>
      <c r="H30" s="4" t="s">
        <v>100</v>
      </c>
      <c r="I30" s="4" t="s">
        <v>18</v>
      </c>
      <c r="J30" s="4" t="s">
        <v>116</v>
      </c>
      <c r="K30" s="4" t="s">
        <v>20</v>
      </c>
      <c r="L30" s="4" t="s">
        <v>117</v>
      </c>
    </row>
    <row r="31" customFormat="false" ht="34.5" hidden="false" customHeight="true" outlineLevel="0" collapsed="false">
      <c r="A31" s="4" t="s">
        <v>95</v>
      </c>
      <c r="B31" s="4" t="n">
        <v>2</v>
      </c>
      <c r="C31" s="4" t="n">
        <v>2</v>
      </c>
      <c r="D31" s="4" t="s">
        <v>118</v>
      </c>
      <c r="E31" s="4" t="s">
        <v>97</v>
      </c>
      <c r="F31" s="4" t="s">
        <v>104</v>
      </c>
      <c r="G31" s="4" t="s">
        <v>99</v>
      </c>
      <c r="H31" s="4" t="s">
        <v>100</v>
      </c>
      <c r="I31" s="4" t="s">
        <v>18</v>
      </c>
      <c r="J31" s="4" t="s">
        <v>119</v>
      </c>
      <c r="K31" s="4" t="s">
        <v>20</v>
      </c>
      <c r="L31" s="4" t="s">
        <v>120</v>
      </c>
    </row>
    <row r="32" customFormat="false" ht="34.5" hidden="false" customHeight="true" outlineLevel="0" collapsed="false">
      <c r="A32" s="4" t="s">
        <v>95</v>
      </c>
      <c r="B32" s="4" t="n">
        <v>2</v>
      </c>
      <c r="C32" s="4" t="n">
        <v>3</v>
      </c>
      <c r="D32" s="4" t="s">
        <v>121</v>
      </c>
      <c r="E32" s="4" t="s">
        <v>97</v>
      </c>
      <c r="F32" s="4" t="s">
        <v>108</v>
      </c>
      <c r="G32" s="4" t="s">
        <v>99</v>
      </c>
      <c r="H32" s="4" t="s">
        <v>100</v>
      </c>
      <c r="I32" s="4" t="s">
        <v>18</v>
      </c>
      <c r="J32" s="4" t="s">
        <v>122</v>
      </c>
      <c r="K32" s="4" t="s">
        <v>20</v>
      </c>
      <c r="L32" s="4" t="s">
        <v>123</v>
      </c>
    </row>
    <row r="33" customFormat="false" ht="34.5" hidden="false" customHeight="true" outlineLevel="0" collapsed="false">
      <c r="A33" s="4" t="s">
        <v>95</v>
      </c>
      <c r="B33" s="4" t="n">
        <v>2</v>
      </c>
      <c r="C33" s="4" t="n">
        <v>4</v>
      </c>
      <c r="D33" s="4" t="s">
        <v>124</v>
      </c>
      <c r="E33" s="4" t="s">
        <v>97</v>
      </c>
      <c r="F33" s="4" t="s">
        <v>112</v>
      </c>
      <c r="G33" s="4" t="s">
        <v>99</v>
      </c>
      <c r="H33" s="4" t="s">
        <v>100</v>
      </c>
      <c r="I33" s="4" t="s">
        <v>18</v>
      </c>
      <c r="J33" s="4" t="s">
        <v>125</v>
      </c>
      <c r="K33" s="4" t="s">
        <v>20</v>
      </c>
      <c r="L33" s="4" t="s">
        <v>126</v>
      </c>
    </row>
    <row r="34" customFormat="false" ht="34.5" hidden="false" customHeight="true" outlineLevel="0" collapsed="false">
      <c r="A34" s="4" t="s">
        <v>95</v>
      </c>
      <c r="B34" s="4" t="n">
        <v>3</v>
      </c>
      <c r="C34" s="4" t="n">
        <v>1</v>
      </c>
      <c r="D34" s="4" t="s">
        <v>127</v>
      </c>
      <c r="E34" s="4" t="s">
        <v>97</v>
      </c>
      <c r="F34" s="4" t="s">
        <v>98</v>
      </c>
      <c r="G34" s="4" t="s">
        <v>99</v>
      </c>
      <c r="H34" s="4" t="s">
        <v>100</v>
      </c>
      <c r="I34" s="4" t="s">
        <v>18</v>
      </c>
      <c r="J34" s="4" t="s">
        <v>128</v>
      </c>
      <c r="K34" s="4" t="s">
        <v>20</v>
      </c>
      <c r="L34" s="4" t="s">
        <v>129</v>
      </c>
    </row>
    <row r="35" customFormat="false" ht="34.5" hidden="false" customHeight="true" outlineLevel="0" collapsed="false">
      <c r="A35" s="4" t="s">
        <v>95</v>
      </c>
      <c r="B35" s="4" t="n">
        <v>3</v>
      </c>
      <c r="C35" s="4" t="n">
        <v>2</v>
      </c>
      <c r="D35" s="4" t="s">
        <v>130</v>
      </c>
      <c r="E35" s="4" t="s">
        <v>97</v>
      </c>
      <c r="F35" s="4" t="s">
        <v>104</v>
      </c>
      <c r="G35" s="4" t="s">
        <v>99</v>
      </c>
      <c r="H35" s="4" t="s">
        <v>100</v>
      </c>
      <c r="I35" s="4" t="s">
        <v>18</v>
      </c>
      <c r="J35" s="4" t="s">
        <v>131</v>
      </c>
      <c r="K35" s="4" t="s">
        <v>20</v>
      </c>
      <c r="L35" s="4" t="s">
        <v>132</v>
      </c>
    </row>
    <row r="36" customFormat="false" ht="34.5" hidden="false" customHeight="true" outlineLevel="0" collapsed="false">
      <c r="A36" s="4" t="s">
        <v>95</v>
      </c>
      <c r="B36" s="4" t="n">
        <v>3</v>
      </c>
      <c r="C36" s="4" t="n">
        <v>3</v>
      </c>
      <c r="D36" s="4" t="s">
        <v>133</v>
      </c>
      <c r="E36" s="4" t="s">
        <v>97</v>
      </c>
      <c r="F36" s="4" t="s">
        <v>108</v>
      </c>
      <c r="G36" s="4" t="s">
        <v>99</v>
      </c>
      <c r="H36" s="4" t="s">
        <v>100</v>
      </c>
      <c r="I36" s="4" t="s">
        <v>18</v>
      </c>
      <c r="J36" s="4" t="s">
        <v>134</v>
      </c>
      <c r="K36" s="4" t="s">
        <v>20</v>
      </c>
      <c r="L36" s="4" t="s">
        <v>135</v>
      </c>
    </row>
    <row r="37" customFormat="false" ht="34.5" hidden="false" customHeight="true" outlineLevel="0" collapsed="false">
      <c r="A37" s="4" t="s">
        <v>95</v>
      </c>
      <c r="B37" s="4" t="n">
        <v>3</v>
      </c>
      <c r="C37" s="4" t="n">
        <v>4</v>
      </c>
      <c r="D37" s="4" t="s">
        <v>136</v>
      </c>
      <c r="E37" s="4" t="s">
        <v>97</v>
      </c>
      <c r="F37" s="4" t="s">
        <v>112</v>
      </c>
      <c r="G37" s="4" t="s">
        <v>99</v>
      </c>
      <c r="H37" s="4" t="s">
        <v>100</v>
      </c>
      <c r="I37" s="4" t="s">
        <v>18</v>
      </c>
      <c r="J37" s="4" t="s">
        <v>137</v>
      </c>
      <c r="K37" s="4" t="s">
        <v>20</v>
      </c>
      <c r="L37" s="4" t="s">
        <v>138</v>
      </c>
    </row>
    <row r="38" customFormat="false" ht="34.5" hidden="false" customHeight="true" outlineLevel="0" collapsed="false">
      <c r="A38" s="4" t="s">
        <v>95</v>
      </c>
      <c r="B38" s="4" t="n">
        <v>4</v>
      </c>
      <c r="C38" s="4" t="n">
        <v>1</v>
      </c>
      <c r="D38" s="4" t="s">
        <v>139</v>
      </c>
      <c r="E38" s="4" t="s">
        <v>97</v>
      </c>
      <c r="F38" s="4" t="s">
        <v>98</v>
      </c>
      <c r="G38" s="4" t="s">
        <v>99</v>
      </c>
      <c r="H38" s="4" t="s">
        <v>100</v>
      </c>
      <c r="I38" s="4" t="s">
        <v>18</v>
      </c>
      <c r="J38" s="4" t="s">
        <v>140</v>
      </c>
      <c r="K38" s="4" t="s">
        <v>20</v>
      </c>
      <c r="L38" s="4" t="s">
        <v>141</v>
      </c>
    </row>
    <row r="39" customFormat="false" ht="34.5" hidden="false" customHeight="true" outlineLevel="0" collapsed="false">
      <c r="A39" s="4" t="s">
        <v>95</v>
      </c>
      <c r="B39" s="4" t="n">
        <v>4</v>
      </c>
      <c r="C39" s="4" t="n">
        <v>2</v>
      </c>
      <c r="D39" s="4" t="s">
        <v>142</v>
      </c>
      <c r="E39" s="4" t="s">
        <v>97</v>
      </c>
      <c r="F39" s="4" t="s">
        <v>104</v>
      </c>
      <c r="G39" s="4" t="s">
        <v>99</v>
      </c>
      <c r="H39" s="4" t="s">
        <v>100</v>
      </c>
      <c r="I39" s="4" t="s">
        <v>18</v>
      </c>
      <c r="J39" s="4" t="s">
        <v>143</v>
      </c>
      <c r="K39" s="4" t="s">
        <v>20</v>
      </c>
      <c r="L39" s="4" t="s">
        <v>144</v>
      </c>
    </row>
    <row r="40" customFormat="false" ht="34.5" hidden="false" customHeight="true" outlineLevel="0" collapsed="false">
      <c r="A40" s="4" t="s">
        <v>95</v>
      </c>
      <c r="B40" s="4" t="n">
        <v>4</v>
      </c>
      <c r="C40" s="4" t="n">
        <v>3</v>
      </c>
      <c r="D40" s="4" t="s">
        <v>145</v>
      </c>
      <c r="E40" s="4" t="s">
        <v>97</v>
      </c>
      <c r="F40" s="4" t="s">
        <v>108</v>
      </c>
      <c r="G40" s="4" t="s">
        <v>99</v>
      </c>
      <c r="H40" s="4" t="s">
        <v>100</v>
      </c>
      <c r="I40" s="4" t="s">
        <v>18</v>
      </c>
      <c r="J40" s="4" t="s">
        <v>146</v>
      </c>
      <c r="K40" s="4" t="s">
        <v>20</v>
      </c>
      <c r="L40" s="4" t="s">
        <v>147</v>
      </c>
    </row>
    <row r="41" customFormat="false" ht="34.5" hidden="false" customHeight="true" outlineLevel="0" collapsed="false">
      <c r="A41" s="4" t="s">
        <v>95</v>
      </c>
      <c r="B41" s="4" t="n">
        <v>4</v>
      </c>
      <c r="C41" s="4" t="n">
        <v>4</v>
      </c>
      <c r="D41" s="4" t="s">
        <v>148</v>
      </c>
      <c r="E41" s="4" t="s">
        <v>97</v>
      </c>
      <c r="F41" s="4" t="s">
        <v>112</v>
      </c>
      <c r="G41" s="4" t="s">
        <v>99</v>
      </c>
      <c r="H41" s="4" t="s">
        <v>100</v>
      </c>
      <c r="I41" s="4" t="s">
        <v>18</v>
      </c>
      <c r="J41" s="4" t="s">
        <v>149</v>
      </c>
      <c r="K41" s="4" t="s">
        <v>20</v>
      </c>
      <c r="L41" s="4" t="s">
        <v>150</v>
      </c>
    </row>
    <row r="42" customFormat="false" ht="34.5" hidden="false" customHeight="true" outlineLevel="0" collapsed="false">
      <c r="A42" s="4" t="s">
        <v>95</v>
      </c>
      <c r="B42" s="4" t="n">
        <v>5</v>
      </c>
      <c r="C42" s="4" t="n">
        <v>1</v>
      </c>
      <c r="D42" s="4" t="s">
        <v>151</v>
      </c>
      <c r="E42" s="4" t="s">
        <v>97</v>
      </c>
      <c r="F42" s="4" t="s">
        <v>98</v>
      </c>
      <c r="G42" s="4" t="s">
        <v>99</v>
      </c>
      <c r="H42" s="4" t="s">
        <v>100</v>
      </c>
      <c r="I42" s="4" t="s">
        <v>18</v>
      </c>
      <c r="J42" s="4" t="s">
        <v>152</v>
      </c>
      <c r="K42" s="4" t="s">
        <v>20</v>
      </c>
      <c r="L42" s="4" t="s">
        <v>153</v>
      </c>
    </row>
    <row r="43" customFormat="false" ht="34.5" hidden="false" customHeight="true" outlineLevel="0" collapsed="false">
      <c r="A43" s="4" t="s">
        <v>95</v>
      </c>
      <c r="B43" s="4" t="n">
        <v>5</v>
      </c>
      <c r="C43" s="4" t="n">
        <v>2</v>
      </c>
      <c r="D43" s="4" t="s">
        <v>154</v>
      </c>
      <c r="E43" s="4" t="s">
        <v>97</v>
      </c>
      <c r="F43" s="4" t="s">
        <v>104</v>
      </c>
      <c r="G43" s="4" t="s">
        <v>99</v>
      </c>
      <c r="H43" s="4" t="s">
        <v>100</v>
      </c>
      <c r="I43" s="4" t="s">
        <v>18</v>
      </c>
      <c r="J43" s="4" t="s">
        <v>155</v>
      </c>
      <c r="K43" s="4" t="s">
        <v>20</v>
      </c>
      <c r="L43" s="4" t="s">
        <v>156</v>
      </c>
    </row>
    <row r="44" customFormat="false" ht="34.5" hidden="false" customHeight="true" outlineLevel="0" collapsed="false">
      <c r="A44" s="4" t="s">
        <v>95</v>
      </c>
      <c r="B44" s="4" t="n">
        <v>5</v>
      </c>
      <c r="C44" s="4" t="n">
        <v>3</v>
      </c>
      <c r="D44" s="4" t="s">
        <v>157</v>
      </c>
      <c r="E44" s="4" t="s">
        <v>97</v>
      </c>
      <c r="F44" s="4" t="s">
        <v>108</v>
      </c>
      <c r="G44" s="4" t="s">
        <v>99</v>
      </c>
      <c r="H44" s="4" t="s">
        <v>100</v>
      </c>
      <c r="I44" s="4" t="s">
        <v>18</v>
      </c>
      <c r="J44" s="4" t="s">
        <v>158</v>
      </c>
      <c r="K44" s="4" t="s">
        <v>20</v>
      </c>
      <c r="L44" s="4" t="s">
        <v>159</v>
      </c>
    </row>
    <row r="45" customFormat="false" ht="34.5" hidden="false" customHeight="true" outlineLevel="0" collapsed="false">
      <c r="A45" s="4" t="s">
        <v>95</v>
      </c>
      <c r="B45" s="4" t="n">
        <v>5</v>
      </c>
      <c r="C45" s="4" t="n">
        <v>4</v>
      </c>
      <c r="D45" s="4" t="s">
        <v>160</v>
      </c>
      <c r="E45" s="4" t="s">
        <v>97</v>
      </c>
      <c r="F45" s="4" t="s">
        <v>112</v>
      </c>
      <c r="G45" s="4" t="s">
        <v>99</v>
      </c>
      <c r="H45" s="4" t="s">
        <v>100</v>
      </c>
      <c r="I45" s="4" t="s">
        <v>18</v>
      </c>
      <c r="J45" s="4" t="s">
        <v>161</v>
      </c>
      <c r="K45" s="4" t="s">
        <v>20</v>
      </c>
      <c r="L45" s="4" t="s">
        <v>162</v>
      </c>
    </row>
    <row r="46" customFormat="false" ht="34.5" hidden="false" customHeight="true" outlineLevel="0" collapsed="false">
      <c r="A46" s="4" t="s">
        <v>95</v>
      </c>
      <c r="B46" s="4" t="n">
        <v>6</v>
      </c>
      <c r="C46" s="4" t="n">
        <v>1</v>
      </c>
      <c r="D46" s="4" t="s">
        <v>163</v>
      </c>
      <c r="E46" s="4" t="s">
        <v>97</v>
      </c>
      <c r="F46" s="4" t="s">
        <v>98</v>
      </c>
      <c r="G46" s="4" t="s">
        <v>99</v>
      </c>
      <c r="H46" s="4" t="s">
        <v>100</v>
      </c>
      <c r="I46" s="4" t="s">
        <v>18</v>
      </c>
      <c r="J46" s="4" t="s">
        <v>164</v>
      </c>
      <c r="K46" s="4" t="s">
        <v>20</v>
      </c>
      <c r="L46" s="4" t="s">
        <v>165</v>
      </c>
    </row>
    <row r="47" customFormat="false" ht="34.5" hidden="false" customHeight="true" outlineLevel="0" collapsed="false">
      <c r="A47" s="4" t="s">
        <v>95</v>
      </c>
      <c r="B47" s="4" t="n">
        <v>6</v>
      </c>
      <c r="C47" s="4" t="n">
        <v>2</v>
      </c>
      <c r="D47" s="4" t="s">
        <v>166</v>
      </c>
      <c r="E47" s="4" t="s">
        <v>97</v>
      </c>
      <c r="F47" s="4" t="s">
        <v>104</v>
      </c>
      <c r="G47" s="4" t="s">
        <v>99</v>
      </c>
      <c r="H47" s="4" t="s">
        <v>100</v>
      </c>
      <c r="I47" s="4" t="s">
        <v>18</v>
      </c>
      <c r="J47" s="4" t="s">
        <v>167</v>
      </c>
      <c r="K47" s="4" t="s">
        <v>20</v>
      </c>
      <c r="L47" s="4" t="s">
        <v>168</v>
      </c>
    </row>
    <row r="48" customFormat="false" ht="34.5" hidden="false" customHeight="true" outlineLevel="0" collapsed="false">
      <c r="A48" s="4" t="s">
        <v>95</v>
      </c>
      <c r="B48" s="4" t="n">
        <v>6</v>
      </c>
      <c r="C48" s="4" t="n">
        <v>3</v>
      </c>
      <c r="D48" s="4" t="s">
        <v>169</v>
      </c>
      <c r="E48" s="4" t="s">
        <v>97</v>
      </c>
      <c r="F48" s="4" t="s">
        <v>108</v>
      </c>
      <c r="G48" s="4" t="s">
        <v>99</v>
      </c>
      <c r="H48" s="4" t="s">
        <v>100</v>
      </c>
      <c r="I48" s="4" t="s">
        <v>18</v>
      </c>
      <c r="J48" s="4" t="s">
        <v>170</v>
      </c>
      <c r="K48" s="4" t="s">
        <v>20</v>
      </c>
      <c r="L48" s="4" t="s">
        <v>171</v>
      </c>
    </row>
    <row r="49" customFormat="false" ht="34.5" hidden="false" customHeight="true" outlineLevel="0" collapsed="false">
      <c r="A49" s="4" t="s">
        <v>95</v>
      </c>
      <c r="B49" s="4" t="n">
        <v>6</v>
      </c>
      <c r="C49" s="4" t="n">
        <v>4</v>
      </c>
      <c r="D49" s="4" t="s">
        <v>172</v>
      </c>
      <c r="E49" s="4" t="s">
        <v>97</v>
      </c>
      <c r="F49" s="4" t="s">
        <v>112</v>
      </c>
      <c r="G49" s="4" t="s">
        <v>99</v>
      </c>
      <c r="H49" s="4" t="s">
        <v>100</v>
      </c>
      <c r="I49" s="4" t="s">
        <v>18</v>
      </c>
      <c r="J49" s="4" t="s">
        <v>173</v>
      </c>
      <c r="K49" s="4" t="s">
        <v>20</v>
      </c>
      <c r="L49" s="4" t="s">
        <v>174</v>
      </c>
    </row>
    <row r="50" customFormat="false" ht="34.5" hidden="false" customHeight="true" outlineLevel="0" collapsed="false">
      <c r="A50" s="5" t="s">
        <v>175</v>
      </c>
      <c r="B50" s="5" t="n">
        <v>1</v>
      </c>
      <c r="C50" s="5" t="n">
        <v>1</v>
      </c>
      <c r="D50" s="5" t="s">
        <v>176</v>
      </c>
      <c r="E50" s="5" t="s">
        <v>177</v>
      </c>
      <c r="F50" s="5" t="s">
        <v>178</v>
      </c>
      <c r="G50" s="5" t="s">
        <v>99</v>
      </c>
      <c r="H50" s="5" t="s">
        <v>100</v>
      </c>
      <c r="I50" s="5" t="s">
        <v>18</v>
      </c>
      <c r="J50" s="5" t="s">
        <v>179</v>
      </c>
      <c r="K50" s="5" t="s">
        <v>20</v>
      </c>
      <c r="L50" s="5" t="s">
        <v>180</v>
      </c>
    </row>
    <row r="51" customFormat="false" ht="34.5" hidden="false" customHeight="true" outlineLevel="0" collapsed="false">
      <c r="A51" s="5" t="s">
        <v>175</v>
      </c>
      <c r="B51" s="5" t="n">
        <v>1</v>
      </c>
      <c r="C51" s="5" t="n">
        <v>2</v>
      </c>
      <c r="D51" s="5" t="s">
        <v>181</v>
      </c>
      <c r="E51" s="5" t="s">
        <v>177</v>
      </c>
      <c r="F51" s="5" t="s">
        <v>182</v>
      </c>
      <c r="G51" s="5" t="s">
        <v>99</v>
      </c>
      <c r="H51" s="5" t="s">
        <v>100</v>
      </c>
      <c r="I51" s="5" t="s">
        <v>18</v>
      </c>
      <c r="J51" s="5" t="s">
        <v>183</v>
      </c>
      <c r="K51" s="5" t="s">
        <v>20</v>
      </c>
      <c r="L51" s="5" t="s">
        <v>184</v>
      </c>
    </row>
    <row r="52" customFormat="false" ht="34.5" hidden="false" customHeight="true" outlineLevel="0" collapsed="false">
      <c r="A52" s="5" t="s">
        <v>175</v>
      </c>
      <c r="B52" s="5" t="n">
        <v>1</v>
      </c>
      <c r="C52" s="5" t="n">
        <v>3</v>
      </c>
      <c r="D52" s="5" t="s">
        <v>185</v>
      </c>
      <c r="E52" s="5" t="s">
        <v>177</v>
      </c>
      <c r="F52" s="5" t="s">
        <v>186</v>
      </c>
      <c r="G52" s="5" t="s">
        <v>99</v>
      </c>
      <c r="H52" s="5" t="s">
        <v>100</v>
      </c>
      <c r="I52" s="5" t="s">
        <v>18</v>
      </c>
      <c r="J52" s="5" t="s">
        <v>187</v>
      </c>
      <c r="K52" s="5" t="s">
        <v>20</v>
      </c>
      <c r="L52" s="5" t="s">
        <v>188</v>
      </c>
    </row>
    <row r="53" customFormat="false" ht="34.5" hidden="false" customHeight="true" outlineLevel="0" collapsed="false">
      <c r="A53" s="5" t="s">
        <v>175</v>
      </c>
      <c r="B53" s="5" t="n">
        <v>1</v>
      </c>
      <c r="C53" s="5" t="n">
        <v>4</v>
      </c>
      <c r="D53" s="5" t="s">
        <v>189</v>
      </c>
      <c r="E53" s="5" t="s">
        <v>177</v>
      </c>
      <c r="F53" s="5" t="s">
        <v>190</v>
      </c>
      <c r="G53" s="5" t="s">
        <v>99</v>
      </c>
      <c r="H53" s="5" t="s">
        <v>100</v>
      </c>
      <c r="I53" s="5" t="s">
        <v>18</v>
      </c>
      <c r="J53" s="5" t="s">
        <v>191</v>
      </c>
      <c r="K53" s="5" t="s">
        <v>20</v>
      </c>
      <c r="L53" s="5" t="s">
        <v>192</v>
      </c>
    </row>
    <row r="54" customFormat="false" ht="34.5" hidden="false" customHeight="true" outlineLevel="0" collapsed="false">
      <c r="A54" s="5" t="s">
        <v>175</v>
      </c>
      <c r="B54" s="5" t="n">
        <v>2</v>
      </c>
      <c r="C54" s="5" t="n">
        <v>1</v>
      </c>
      <c r="D54" s="5" t="s">
        <v>193</v>
      </c>
      <c r="E54" s="5" t="s">
        <v>177</v>
      </c>
      <c r="F54" s="5" t="s">
        <v>178</v>
      </c>
      <c r="G54" s="5" t="s">
        <v>99</v>
      </c>
      <c r="H54" s="5" t="s">
        <v>100</v>
      </c>
      <c r="I54" s="5" t="s">
        <v>18</v>
      </c>
      <c r="J54" s="5" t="s">
        <v>194</v>
      </c>
      <c r="K54" s="5" t="s">
        <v>20</v>
      </c>
      <c r="L54" s="5" t="s">
        <v>195</v>
      </c>
    </row>
    <row r="55" customFormat="false" ht="34.5" hidden="false" customHeight="true" outlineLevel="0" collapsed="false">
      <c r="A55" s="5" t="s">
        <v>175</v>
      </c>
      <c r="B55" s="5" t="n">
        <v>2</v>
      </c>
      <c r="C55" s="5" t="n">
        <v>2</v>
      </c>
      <c r="D55" s="5" t="s">
        <v>196</v>
      </c>
      <c r="E55" s="5" t="s">
        <v>177</v>
      </c>
      <c r="F55" s="5" t="s">
        <v>182</v>
      </c>
      <c r="G55" s="5" t="s">
        <v>99</v>
      </c>
      <c r="H55" s="5" t="s">
        <v>100</v>
      </c>
      <c r="I55" s="5" t="s">
        <v>18</v>
      </c>
      <c r="J55" s="5" t="s">
        <v>197</v>
      </c>
      <c r="K55" s="5" t="s">
        <v>20</v>
      </c>
      <c r="L55" s="5" t="s">
        <v>198</v>
      </c>
    </row>
    <row r="56" customFormat="false" ht="34.5" hidden="false" customHeight="true" outlineLevel="0" collapsed="false">
      <c r="A56" s="5" t="s">
        <v>175</v>
      </c>
      <c r="B56" s="5" t="n">
        <v>2</v>
      </c>
      <c r="C56" s="5" t="n">
        <v>3</v>
      </c>
      <c r="D56" s="5" t="s">
        <v>199</v>
      </c>
      <c r="E56" s="5" t="s">
        <v>177</v>
      </c>
      <c r="F56" s="5" t="s">
        <v>186</v>
      </c>
      <c r="G56" s="5" t="s">
        <v>99</v>
      </c>
      <c r="H56" s="5" t="s">
        <v>100</v>
      </c>
      <c r="I56" s="5" t="s">
        <v>18</v>
      </c>
      <c r="J56" s="5" t="s">
        <v>200</v>
      </c>
      <c r="K56" s="5" t="s">
        <v>20</v>
      </c>
      <c r="L56" s="5" t="s">
        <v>201</v>
      </c>
    </row>
    <row r="57" customFormat="false" ht="34.5" hidden="false" customHeight="true" outlineLevel="0" collapsed="false">
      <c r="A57" s="5" t="s">
        <v>175</v>
      </c>
      <c r="B57" s="5" t="n">
        <v>2</v>
      </c>
      <c r="C57" s="5" t="n">
        <v>4</v>
      </c>
      <c r="D57" s="5" t="s">
        <v>202</v>
      </c>
      <c r="E57" s="5" t="s">
        <v>177</v>
      </c>
      <c r="F57" s="5" t="s">
        <v>190</v>
      </c>
      <c r="G57" s="5" t="s">
        <v>99</v>
      </c>
      <c r="H57" s="5" t="s">
        <v>100</v>
      </c>
      <c r="I57" s="5" t="s">
        <v>18</v>
      </c>
      <c r="J57" s="5" t="s">
        <v>203</v>
      </c>
      <c r="K57" s="5" t="s">
        <v>20</v>
      </c>
      <c r="L57" s="5" t="s">
        <v>204</v>
      </c>
    </row>
    <row r="58" customFormat="false" ht="34.5" hidden="false" customHeight="true" outlineLevel="0" collapsed="false">
      <c r="A58" s="5" t="s">
        <v>175</v>
      </c>
      <c r="B58" s="5" t="n">
        <v>3</v>
      </c>
      <c r="C58" s="5" t="n">
        <v>1</v>
      </c>
      <c r="D58" s="5" t="s">
        <v>205</v>
      </c>
      <c r="E58" s="5" t="s">
        <v>177</v>
      </c>
      <c r="F58" s="5" t="s">
        <v>178</v>
      </c>
      <c r="G58" s="5" t="s">
        <v>99</v>
      </c>
      <c r="H58" s="5" t="s">
        <v>100</v>
      </c>
      <c r="I58" s="5" t="s">
        <v>18</v>
      </c>
      <c r="J58" s="5" t="s">
        <v>206</v>
      </c>
      <c r="K58" s="5" t="s">
        <v>20</v>
      </c>
      <c r="L58" s="5" t="s">
        <v>207</v>
      </c>
    </row>
    <row r="59" customFormat="false" ht="34.5" hidden="false" customHeight="true" outlineLevel="0" collapsed="false">
      <c r="A59" s="5" t="s">
        <v>175</v>
      </c>
      <c r="B59" s="5" t="n">
        <v>3</v>
      </c>
      <c r="C59" s="5" t="n">
        <v>2</v>
      </c>
      <c r="D59" s="5" t="s">
        <v>208</v>
      </c>
      <c r="E59" s="5" t="s">
        <v>177</v>
      </c>
      <c r="F59" s="5" t="s">
        <v>182</v>
      </c>
      <c r="G59" s="5" t="s">
        <v>99</v>
      </c>
      <c r="H59" s="5" t="s">
        <v>100</v>
      </c>
      <c r="I59" s="5" t="s">
        <v>18</v>
      </c>
      <c r="J59" s="5" t="s">
        <v>209</v>
      </c>
      <c r="K59" s="5" t="s">
        <v>20</v>
      </c>
      <c r="L59" s="5" t="s">
        <v>210</v>
      </c>
    </row>
    <row r="60" customFormat="false" ht="34.5" hidden="false" customHeight="true" outlineLevel="0" collapsed="false">
      <c r="A60" s="5" t="s">
        <v>175</v>
      </c>
      <c r="B60" s="5" t="n">
        <v>3</v>
      </c>
      <c r="C60" s="5" t="n">
        <v>3</v>
      </c>
      <c r="D60" s="5" t="s">
        <v>211</v>
      </c>
      <c r="E60" s="5" t="s">
        <v>177</v>
      </c>
      <c r="F60" s="5" t="s">
        <v>186</v>
      </c>
      <c r="G60" s="5" t="s">
        <v>99</v>
      </c>
      <c r="H60" s="5" t="s">
        <v>100</v>
      </c>
      <c r="I60" s="5" t="s">
        <v>18</v>
      </c>
      <c r="J60" s="5" t="s">
        <v>212</v>
      </c>
      <c r="K60" s="5" t="s">
        <v>20</v>
      </c>
      <c r="L60" s="5" t="s">
        <v>213</v>
      </c>
    </row>
    <row r="61" customFormat="false" ht="23.25" hidden="false" customHeight="true" outlineLevel="0" collapsed="false">
      <c r="A61" s="5" t="s">
        <v>175</v>
      </c>
      <c r="B61" s="5" t="n">
        <v>3</v>
      </c>
      <c r="C61" s="5" t="n">
        <v>4</v>
      </c>
      <c r="D61" s="5" t="s">
        <v>214</v>
      </c>
      <c r="E61" s="5" t="s">
        <v>177</v>
      </c>
      <c r="F61" s="5" t="s">
        <v>190</v>
      </c>
      <c r="G61" s="5" t="s">
        <v>99</v>
      </c>
      <c r="H61" s="5" t="s">
        <v>100</v>
      </c>
      <c r="I61" s="5" t="s">
        <v>18</v>
      </c>
      <c r="J61" s="5" t="s">
        <v>215</v>
      </c>
      <c r="K61" s="5" t="s">
        <v>20</v>
      </c>
      <c r="L61" s="5" t="s">
        <v>216</v>
      </c>
    </row>
    <row r="62" customFormat="false" ht="34.5" hidden="false" customHeight="true" outlineLevel="0" collapsed="false">
      <c r="A62" s="5" t="s">
        <v>175</v>
      </c>
      <c r="B62" s="5" t="n">
        <v>4</v>
      </c>
      <c r="C62" s="5" t="n">
        <v>1</v>
      </c>
      <c r="D62" s="5" t="s">
        <v>217</v>
      </c>
      <c r="E62" s="5" t="s">
        <v>177</v>
      </c>
      <c r="F62" s="5" t="s">
        <v>178</v>
      </c>
      <c r="G62" s="5" t="s">
        <v>99</v>
      </c>
      <c r="H62" s="5" t="s">
        <v>100</v>
      </c>
      <c r="I62" s="5" t="s">
        <v>18</v>
      </c>
      <c r="J62" s="5" t="s">
        <v>218</v>
      </c>
      <c r="K62" s="5" t="s">
        <v>20</v>
      </c>
      <c r="L62" s="5" t="s">
        <v>219</v>
      </c>
    </row>
    <row r="63" customFormat="false" ht="34.5" hidden="false" customHeight="true" outlineLevel="0" collapsed="false">
      <c r="A63" s="5" t="s">
        <v>175</v>
      </c>
      <c r="B63" s="5" t="n">
        <v>4</v>
      </c>
      <c r="C63" s="5" t="n">
        <v>2</v>
      </c>
      <c r="D63" s="5" t="s">
        <v>220</v>
      </c>
      <c r="E63" s="5" t="s">
        <v>177</v>
      </c>
      <c r="F63" s="5" t="s">
        <v>182</v>
      </c>
      <c r="G63" s="5" t="s">
        <v>99</v>
      </c>
      <c r="H63" s="5" t="s">
        <v>100</v>
      </c>
      <c r="I63" s="5" t="s">
        <v>18</v>
      </c>
      <c r="J63" s="5" t="s">
        <v>221</v>
      </c>
      <c r="K63" s="5" t="s">
        <v>20</v>
      </c>
      <c r="L63" s="5" t="s">
        <v>222</v>
      </c>
    </row>
    <row r="64" customFormat="false" ht="34.5" hidden="false" customHeight="true" outlineLevel="0" collapsed="false">
      <c r="A64" s="5" t="s">
        <v>175</v>
      </c>
      <c r="B64" s="5" t="n">
        <v>4</v>
      </c>
      <c r="C64" s="5" t="n">
        <v>3</v>
      </c>
      <c r="D64" s="5" t="s">
        <v>223</v>
      </c>
      <c r="E64" s="5" t="s">
        <v>177</v>
      </c>
      <c r="F64" s="5" t="s">
        <v>186</v>
      </c>
      <c r="G64" s="5" t="s">
        <v>99</v>
      </c>
      <c r="H64" s="5" t="s">
        <v>100</v>
      </c>
      <c r="I64" s="5" t="s">
        <v>18</v>
      </c>
      <c r="J64" s="5" t="s">
        <v>224</v>
      </c>
      <c r="K64" s="5" t="s">
        <v>20</v>
      </c>
      <c r="L64" s="5" t="s">
        <v>225</v>
      </c>
    </row>
    <row r="65" customFormat="false" ht="23.25" hidden="false" customHeight="true" outlineLevel="0" collapsed="false">
      <c r="A65" s="5" t="s">
        <v>175</v>
      </c>
      <c r="B65" s="5" t="n">
        <v>4</v>
      </c>
      <c r="C65" s="5" t="n">
        <v>4</v>
      </c>
      <c r="D65" s="5" t="s">
        <v>226</v>
      </c>
      <c r="E65" s="5" t="s">
        <v>177</v>
      </c>
      <c r="F65" s="5" t="s">
        <v>190</v>
      </c>
      <c r="G65" s="5" t="s">
        <v>99</v>
      </c>
      <c r="H65" s="5" t="s">
        <v>100</v>
      </c>
      <c r="I65" s="5" t="s">
        <v>18</v>
      </c>
      <c r="J65" s="5" t="s">
        <v>227</v>
      </c>
      <c r="K65" s="5" t="s">
        <v>20</v>
      </c>
      <c r="L65" s="5" t="s">
        <v>228</v>
      </c>
    </row>
    <row r="66" customFormat="false" ht="34.5" hidden="false" customHeight="true" outlineLevel="0" collapsed="false">
      <c r="A66" s="5" t="s">
        <v>175</v>
      </c>
      <c r="B66" s="5" t="n">
        <v>5</v>
      </c>
      <c r="C66" s="5" t="n">
        <v>1</v>
      </c>
      <c r="D66" s="5" t="s">
        <v>229</v>
      </c>
      <c r="E66" s="5" t="s">
        <v>177</v>
      </c>
      <c r="F66" s="5" t="s">
        <v>178</v>
      </c>
      <c r="G66" s="5" t="s">
        <v>99</v>
      </c>
      <c r="H66" s="5" t="s">
        <v>100</v>
      </c>
      <c r="I66" s="5" t="s">
        <v>18</v>
      </c>
      <c r="J66" s="5" t="s">
        <v>230</v>
      </c>
      <c r="K66" s="5" t="s">
        <v>20</v>
      </c>
      <c r="L66" s="5" t="s">
        <v>231</v>
      </c>
    </row>
    <row r="67" customFormat="false" ht="34.5" hidden="false" customHeight="true" outlineLevel="0" collapsed="false">
      <c r="A67" s="5" t="s">
        <v>175</v>
      </c>
      <c r="B67" s="5" t="n">
        <v>5</v>
      </c>
      <c r="C67" s="5" t="n">
        <v>2</v>
      </c>
      <c r="D67" s="5" t="s">
        <v>232</v>
      </c>
      <c r="E67" s="5" t="s">
        <v>177</v>
      </c>
      <c r="F67" s="5" t="s">
        <v>182</v>
      </c>
      <c r="G67" s="5" t="s">
        <v>99</v>
      </c>
      <c r="H67" s="5" t="s">
        <v>100</v>
      </c>
      <c r="I67" s="5" t="s">
        <v>18</v>
      </c>
      <c r="J67" s="5" t="s">
        <v>233</v>
      </c>
      <c r="K67" s="5" t="s">
        <v>20</v>
      </c>
      <c r="L67" s="5" t="s">
        <v>234</v>
      </c>
    </row>
    <row r="68" customFormat="false" ht="34.5" hidden="false" customHeight="true" outlineLevel="0" collapsed="false">
      <c r="A68" s="5" t="s">
        <v>175</v>
      </c>
      <c r="B68" s="5" t="n">
        <v>5</v>
      </c>
      <c r="C68" s="5" t="n">
        <v>3</v>
      </c>
      <c r="D68" s="5" t="s">
        <v>235</v>
      </c>
      <c r="E68" s="5" t="s">
        <v>177</v>
      </c>
      <c r="F68" s="5" t="s">
        <v>186</v>
      </c>
      <c r="G68" s="5" t="s">
        <v>99</v>
      </c>
      <c r="H68" s="5" t="s">
        <v>100</v>
      </c>
      <c r="I68" s="5" t="s">
        <v>18</v>
      </c>
      <c r="J68" s="5" t="s">
        <v>236</v>
      </c>
      <c r="K68" s="5" t="s">
        <v>20</v>
      </c>
      <c r="L68" s="5" t="s">
        <v>237</v>
      </c>
    </row>
    <row r="69" customFormat="false" ht="23.25" hidden="false" customHeight="true" outlineLevel="0" collapsed="false">
      <c r="A69" s="5" t="s">
        <v>175</v>
      </c>
      <c r="B69" s="5" t="n">
        <v>5</v>
      </c>
      <c r="C69" s="5" t="n">
        <v>4</v>
      </c>
      <c r="D69" s="5" t="s">
        <v>238</v>
      </c>
      <c r="E69" s="5" t="s">
        <v>177</v>
      </c>
      <c r="F69" s="5" t="s">
        <v>190</v>
      </c>
      <c r="G69" s="5" t="s">
        <v>99</v>
      </c>
      <c r="H69" s="5" t="s">
        <v>100</v>
      </c>
      <c r="I69" s="5" t="s">
        <v>18</v>
      </c>
      <c r="J69" s="5" t="s">
        <v>239</v>
      </c>
      <c r="K69" s="5" t="s">
        <v>20</v>
      </c>
      <c r="L69" s="5" t="s">
        <v>240</v>
      </c>
    </row>
    <row r="70" customFormat="false" ht="34.5" hidden="false" customHeight="true" outlineLevel="0" collapsed="false">
      <c r="A70" s="5" t="s">
        <v>175</v>
      </c>
      <c r="B70" s="5" t="n">
        <v>6</v>
      </c>
      <c r="C70" s="5" t="n">
        <v>1</v>
      </c>
      <c r="D70" s="5" t="s">
        <v>241</v>
      </c>
      <c r="E70" s="5" t="s">
        <v>177</v>
      </c>
      <c r="F70" s="5" t="s">
        <v>178</v>
      </c>
      <c r="G70" s="5" t="s">
        <v>99</v>
      </c>
      <c r="H70" s="5" t="s">
        <v>100</v>
      </c>
      <c r="I70" s="5" t="s">
        <v>18</v>
      </c>
      <c r="J70" s="5" t="s">
        <v>242</v>
      </c>
      <c r="K70" s="5" t="s">
        <v>20</v>
      </c>
      <c r="L70" s="5" t="s">
        <v>243</v>
      </c>
    </row>
    <row r="71" customFormat="false" ht="34.5" hidden="false" customHeight="true" outlineLevel="0" collapsed="false">
      <c r="A71" s="5" t="s">
        <v>175</v>
      </c>
      <c r="B71" s="5" t="n">
        <v>6</v>
      </c>
      <c r="C71" s="5" t="n">
        <v>2</v>
      </c>
      <c r="D71" s="5" t="s">
        <v>244</v>
      </c>
      <c r="E71" s="5" t="s">
        <v>177</v>
      </c>
      <c r="F71" s="5" t="s">
        <v>182</v>
      </c>
      <c r="G71" s="5" t="s">
        <v>99</v>
      </c>
      <c r="H71" s="5" t="s">
        <v>100</v>
      </c>
      <c r="I71" s="5" t="s">
        <v>18</v>
      </c>
      <c r="J71" s="5" t="s">
        <v>245</v>
      </c>
      <c r="K71" s="5" t="s">
        <v>20</v>
      </c>
      <c r="L71" s="5" t="s">
        <v>246</v>
      </c>
    </row>
    <row r="72" customFormat="false" ht="34.5" hidden="false" customHeight="true" outlineLevel="0" collapsed="false">
      <c r="A72" s="5" t="s">
        <v>175</v>
      </c>
      <c r="B72" s="5" t="n">
        <v>6</v>
      </c>
      <c r="C72" s="5" t="n">
        <v>3</v>
      </c>
      <c r="D72" s="5" t="s">
        <v>247</v>
      </c>
      <c r="E72" s="5" t="s">
        <v>177</v>
      </c>
      <c r="F72" s="5" t="s">
        <v>186</v>
      </c>
      <c r="G72" s="5" t="s">
        <v>99</v>
      </c>
      <c r="H72" s="5" t="s">
        <v>100</v>
      </c>
      <c r="I72" s="5" t="s">
        <v>18</v>
      </c>
      <c r="J72" s="5" t="s">
        <v>248</v>
      </c>
      <c r="K72" s="5" t="s">
        <v>20</v>
      </c>
      <c r="L72" s="5" t="s">
        <v>249</v>
      </c>
    </row>
    <row r="73" customFormat="false" ht="34.5" hidden="false" customHeight="true" outlineLevel="0" collapsed="false">
      <c r="A73" s="5" t="s">
        <v>175</v>
      </c>
      <c r="B73" s="5" t="n">
        <v>6</v>
      </c>
      <c r="C73" s="5" t="n">
        <v>4</v>
      </c>
      <c r="D73" s="5" t="s">
        <v>250</v>
      </c>
      <c r="E73" s="5" t="s">
        <v>177</v>
      </c>
      <c r="F73" s="5" t="s">
        <v>190</v>
      </c>
      <c r="G73" s="5" t="s">
        <v>99</v>
      </c>
      <c r="H73" s="5" t="s">
        <v>100</v>
      </c>
      <c r="I73" s="5" t="s">
        <v>18</v>
      </c>
      <c r="J73" s="5" t="s">
        <v>251</v>
      </c>
      <c r="K73" s="5" t="s">
        <v>20</v>
      </c>
      <c r="L73" s="5" t="s">
        <v>252</v>
      </c>
    </row>
    <row r="74" customFormat="false" ht="34.5" hidden="false" customHeight="true" outlineLevel="0" collapsed="false">
      <c r="A74" s="6" t="s">
        <v>253</v>
      </c>
      <c r="B74" s="6" t="n">
        <v>1</v>
      </c>
      <c r="C74" s="6" t="n">
        <v>1</v>
      </c>
      <c r="D74" s="6" t="s">
        <v>254</v>
      </c>
      <c r="E74" s="6" t="s">
        <v>255</v>
      </c>
      <c r="F74" s="6" t="s">
        <v>256</v>
      </c>
      <c r="G74" s="6" t="s">
        <v>99</v>
      </c>
      <c r="H74" s="6" t="s">
        <v>100</v>
      </c>
      <c r="I74" s="6" t="s">
        <v>257</v>
      </c>
      <c r="J74" s="6" t="s">
        <v>258</v>
      </c>
      <c r="K74" s="6" t="s">
        <v>20</v>
      </c>
      <c r="L74" s="6" t="s">
        <v>259</v>
      </c>
    </row>
    <row r="75" customFormat="false" ht="34.5" hidden="false" customHeight="true" outlineLevel="0" collapsed="false">
      <c r="A75" s="6" t="s">
        <v>253</v>
      </c>
      <c r="B75" s="6" t="n">
        <v>1</v>
      </c>
      <c r="C75" s="6" t="n">
        <v>2</v>
      </c>
      <c r="D75" s="6" t="s">
        <v>260</v>
      </c>
      <c r="E75" s="6" t="s">
        <v>255</v>
      </c>
      <c r="F75" s="6" t="s">
        <v>261</v>
      </c>
      <c r="G75" s="6" t="s">
        <v>99</v>
      </c>
      <c r="H75" s="6" t="s">
        <v>100</v>
      </c>
      <c r="I75" s="6" t="s">
        <v>257</v>
      </c>
      <c r="J75" s="6" t="s">
        <v>262</v>
      </c>
      <c r="K75" s="6" t="s">
        <v>20</v>
      </c>
      <c r="L75" s="6" t="s">
        <v>263</v>
      </c>
    </row>
    <row r="76" customFormat="false" ht="34.5" hidden="false" customHeight="true" outlineLevel="0" collapsed="false">
      <c r="A76" s="6" t="s">
        <v>253</v>
      </c>
      <c r="B76" s="6" t="n">
        <v>1</v>
      </c>
      <c r="C76" s="6" t="n">
        <v>3</v>
      </c>
      <c r="D76" s="6" t="s">
        <v>264</v>
      </c>
      <c r="E76" s="6" t="s">
        <v>255</v>
      </c>
      <c r="F76" s="6" t="s">
        <v>265</v>
      </c>
      <c r="G76" s="6" t="s">
        <v>99</v>
      </c>
      <c r="H76" s="6" t="s">
        <v>100</v>
      </c>
      <c r="I76" s="6" t="s">
        <v>257</v>
      </c>
      <c r="J76" s="6" t="s">
        <v>266</v>
      </c>
      <c r="K76" s="6" t="s">
        <v>20</v>
      </c>
      <c r="L76" s="6" t="s">
        <v>267</v>
      </c>
    </row>
    <row r="77" customFormat="false" ht="34.5" hidden="false" customHeight="true" outlineLevel="0" collapsed="false">
      <c r="A77" s="6" t="s">
        <v>253</v>
      </c>
      <c r="B77" s="6" t="n">
        <v>1</v>
      </c>
      <c r="C77" s="6" t="n">
        <v>4</v>
      </c>
      <c r="D77" s="6" t="s">
        <v>268</v>
      </c>
      <c r="E77" s="6" t="s">
        <v>255</v>
      </c>
      <c r="F77" s="6" t="s">
        <v>265</v>
      </c>
      <c r="G77" s="6" t="s">
        <v>99</v>
      </c>
      <c r="H77" s="6" t="s">
        <v>100</v>
      </c>
      <c r="I77" s="6" t="s">
        <v>257</v>
      </c>
      <c r="J77" s="6" t="s">
        <v>269</v>
      </c>
      <c r="K77" s="6" t="s">
        <v>20</v>
      </c>
      <c r="L77" s="6" t="s">
        <v>270</v>
      </c>
    </row>
    <row r="78" customFormat="false" ht="34.5" hidden="false" customHeight="true" outlineLevel="0" collapsed="false">
      <c r="A78" s="6" t="s">
        <v>253</v>
      </c>
      <c r="B78" s="6" t="n">
        <v>1</v>
      </c>
      <c r="C78" s="6" t="n">
        <v>5</v>
      </c>
      <c r="D78" s="6" t="s">
        <v>271</v>
      </c>
      <c r="E78" s="6" t="s">
        <v>255</v>
      </c>
      <c r="F78" s="6" t="s">
        <v>272</v>
      </c>
      <c r="G78" s="6" t="s">
        <v>99</v>
      </c>
      <c r="H78" s="6" t="s">
        <v>100</v>
      </c>
      <c r="I78" s="6" t="s">
        <v>257</v>
      </c>
      <c r="J78" s="6" t="s">
        <v>273</v>
      </c>
      <c r="K78" s="6" t="s">
        <v>20</v>
      </c>
      <c r="L78" s="6" t="s">
        <v>274</v>
      </c>
    </row>
    <row r="79" customFormat="false" ht="34.5" hidden="false" customHeight="true" outlineLevel="0" collapsed="false">
      <c r="A79" s="6" t="s">
        <v>253</v>
      </c>
      <c r="B79" s="6" t="n">
        <v>2</v>
      </c>
      <c r="C79" s="6" t="n">
        <v>1</v>
      </c>
      <c r="D79" s="6" t="s">
        <v>275</v>
      </c>
      <c r="E79" s="6" t="s">
        <v>255</v>
      </c>
      <c r="F79" s="6" t="s">
        <v>256</v>
      </c>
      <c r="G79" s="6" t="s">
        <v>99</v>
      </c>
      <c r="H79" s="6" t="s">
        <v>100</v>
      </c>
      <c r="I79" s="6" t="s">
        <v>257</v>
      </c>
      <c r="J79" s="6" t="s">
        <v>276</v>
      </c>
      <c r="K79" s="6" t="s">
        <v>20</v>
      </c>
      <c r="L79" s="6" t="s">
        <v>277</v>
      </c>
    </row>
    <row r="80" customFormat="false" ht="34.5" hidden="false" customHeight="true" outlineLevel="0" collapsed="false">
      <c r="A80" s="6" t="s">
        <v>253</v>
      </c>
      <c r="B80" s="6" t="n">
        <v>2</v>
      </c>
      <c r="C80" s="6" t="n">
        <v>2</v>
      </c>
      <c r="D80" s="6" t="s">
        <v>278</v>
      </c>
      <c r="E80" s="6" t="s">
        <v>255</v>
      </c>
      <c r="F80" s="6" t="s">
        <v>261</v>
      </c>
      <c r="G80" s="6" t="s">
        <v>99</v>
      </c>
      <c r="H80" s="6" t="s">
        <v>100</v>
      </c>
      <c r="I80" s="6" t="s">
        <v>257</v>
      </c>
      <c r="J80" s="6" t="s">
        <v>279</v>
      </c>
      <c r="K80" s="6" t="s">
        <v>20</v>
      </c>
      <c r="L80" s="6" t="s">
        <v>280</v>
      </c>
    </row>
    <row r="81" customFormat="false" ht="34.5" hidden="false" customHeight="true" outlineLevel="0" collapsed="false">
      <c r="A81" s="6" t="s">
        <v>253</v>
      </c>
      <c r="B81" s="6" t="n">
        <v>2</v>
      </c>
      <c r="C81" s="6" t="n">
        <v>3</v>
      </c>
      <c r="D81" s="6" t="s">
        <v>281</v>
      </c>
      <c r="E81" s="6" t="s">
        <v>255</v>
      </c>
      <c r="F81" s="6" t="s">
        <v>265</v>
      </c>
      <c r="G81" s="6" t="s">
        <v>99</v>
      </c>
      <c r="H81" s="6" t="s">
        <v>100</v>
      </c>
      <c r="I81" s="6" t="s">
        <v>257</v>
      </c>
      <c r="J81" s="6" t="s">
        <v>282</v>
      </c>
      <c r="K81" s="6" t="s">
        <v>20</v>
      </c>
      <c r="L81" s="6" t="s">
        <v>283</v>
      </c>
    </row>
    <row r="82" customFormat="false" ht="34.5" hidden="false" customHeight="true" outlineLevel="0" collapsed="false">
      <c r="A82" s="6" t="s">
        <v>253</v>
      </c>
      <c r="B82" s="6" t="n">
        <v>2</v>
      </c>
      <c r="C82" s="6" t="n">
        <v>4</v>
      </c>
      <c r="D82" s="6" t="s">
        <v>284</v>
      </c>
      <c r="E82" s="6" t="s">
        <v>255</v>
      </c>
      <c r="F82" s="6" t="s">
        <v>272</v>
      </c>
      <c r="G82" s="6" t="s">
        <v>99</v>
      </c>
      <c r="H82" s="6" t="s">
        <v>100</v>
      </c>
      <c r="I82" s="6" t="s">
        <v>257</v>
      </c>
      <c r="J82" s="6" t="s">
        <v>285</v>
      </c>
      <c r="K82" s="6" t="s">
        <v>20</v>
      </c>
      <c r="L82" s="6" t="s">
        <v>286</v>
      </c>
    </row>
    <row r="83" customFormat="false" ht="34.5" hidden="false" customHeight="true" outlineLevel="0" collapsed="false">
      <c r="A83" s="6" t="s">
        <v>253</v>
      </c>
      <c r="B83" s="6" t="n">
        <v>3</v>
      </c>
      <c r="C83" s="6" t="n">
        <v>1</v>
      </c>
      <c r="D83" s="6" t="s">
        <v>287</v>
      </c>
      <c r="E83" s="6" t="s">
        <v>255</v>
      </c>
      <c r="F83" s="6" t="s">
        <v>256</v>
      </c>
      <c r="G83" s="6" t="s">
        <v>99</v>
      </c>
      <c r="H83" s="6" t="s">
        <v>100</v>
      </c>
      <c r="I83" s="6" t="s">
        <v>257</v>
      </c>
      <c r="J83" s="6" t="s">
        <v>288</v>
      </c>
      <c r="K83" s="6" t="s">
        <v>20</v>
      </c>
      <c r="L83" s="6" t="s">
        <v>289</v>
      </c>
    </row>
    <row r="84" customFormat="false" ht="34.5" hidden="false" customHeight="true" outlineLevel="0" collapsed="false">
      <c r="A84" s="6" t="s">
        <v>253</v>
      </c>
      <c r="B84" s="6" t="n">
        <v>3</v>
      </c>
      <c r="C84" s="6" t="n">
        <v>2</v>
      </c>
      <c r="D84" s="6" t="s">
        <v>290</v>
      </c>
      <c r="E84" s="6" t="s">
        <v>255</v>
      </c>
      <c r="F84" s="6" t="s">
        <v>272</v>
      </c>
      <c r="G84" s="6" t="s">
        <v>99</v>
      </c>
      <c r="H84" s="6" t="s">
        <v>100</v>
      </c>
      <c r="I84" s="6" t="s">
        <v>257</v>
      </c>
      <c r="J84" s="6" t="s">
        <v>291</v>
      </c>
      <c r="K84" s="6" t="s">
        <v>20</v>
      </c>
      <c r="L84" s="6" t="s">
        <v>292</v>
      </c>
    </row>
    <row r="85" customFormat="false" ht="34.5" hidden="false" customHeight="true" outlineLevel="0" collapsed="false">
      <c r="A85" s="6" t="s">
        <v>253</v>
      </c>
      <c r="B85" s="6" t="n">
        <v>4</v>
      </c>
      <c r="C85" s="6" t="n">
        <v>1</v>
      </c>
      <c r="D85" s="6" t="s">
        <v>293</v>
      </c>
      <c r="E85" s="6" t="s">
        <v>255</v>
      </c>
      <c r="F85" s="6" t="s">
        <v>256</v>
      </c>
      <c r="G85" s="6" t="s">
        <v>99</v>
      </c>
      <c r="H85" s="6" t="s">
        <v>100</v>
      </c>
      <c r="I85" s="6" t="s">
        <v>294</v>
      </c>
      <c r="J85" s="6" t="s">
        <v>295</v>
      </c>
      <c r="K85" s="6" t="s">
        <v>20</v>
      </c>
      <c r="L85" s="6" t="s">
        <v>296</v>
      </c>
    </row>
    <row r="86" customFormat="false" ht="34.5" hidden="false" customHeight="true" outlineLevel="0" collapsed="false">
      <c r="A86" s="6" t="s">
        <v>253</v>
      </c>
      <c r="B86" s="6" t="n">
        <v>4</v>
      </c>
      <c r="C86" s="6" t="n">
        <v>2</v>
      </c>
      <c r="D86" s="6" t="s">
        <v>297</v>
      </c>
      <c r="E86" s="6" t="s">
        <v>255</v>
      </c>
      <c r="F86" s="6" t="s">
        <v>272</v>
      </c>
      <c r="G86" s="6" t="s">
        <v>99</v>
      </c>
      <c r="H86" s="6" t="s">
        <v>100</v>
      </c>
      <c r="I86" s="6" t="s">
        <v>294</v>
      </c>
      <c r="J86" s="6" t="s">
        <v>298</v>
      </c>
      <c r="K86" s="6" t="s">
        <v>20</v>
      </c>
      <c r="L86" s="6" t="s">
        <v>299</v>
      </c>
    </row>
    <row r="87" customFormat="false" ht="34.5" hidden="false" customHeight="true" outlineLevel="0" collapsed="false">
      <c r="A87" s="6" t="s">
        <v>253</v>
      </c>
      <c r="B87" s="6" t="n">
        <v>5</v>
      </c>
      <c r="C87" s="6" t="n">
        <v>1</v>
      </c>
      <c r="D87" s="6" t="s">
        <v>300</v>
      </c>
      <c r="E87" s="6" t="s">
        <v>255</v>
      </c>
      <c r="F87" s="6" t="s">
        <v>256</v>
      </c>
      <c r="G87" s="6" t="s">
        <v>99</v>
      </c>
      <c r="H87" s="6" t="s">
        <v>301</v>
      </c>
      <c r="I87" s="6" t="s">
        <v>294</v>
      </c>
      <c r="J87" s="6" t="s">
        <v>302</v>
      </c>
      <c r="K87" s="6" t="s">
        <v>20</v>
      </c>
      <c r="L87" s="6" t="s">
        <v>303</v>
      </c>
    </row>
    <row r="88" customFormat="false" ht="34.5" hidden="false" customHeight="true" outlineLevel="0" collapsed="false">
      <c r="A88" s="6" t="s">
        <v>253</v>
      </c>
      <c r="B88" s="6" t="n">
        <v>5</v>
      </c>
      <c r="C88" s="6" t="n">
        <v>2</v>
      </c>
      <c r="D88" s="6" t="s">
        <v>304</v>
      </c>
      <c r="E88" s="6" t="s">
        <v>255</v>
      </c>
      <c r="F88" s="6" t="s">
        <v>261</v>
      </c>
      <c r="G88" s="6" t="s">
        <v>99</v>
      </c>
      <c r="H88" s="6" t="s">
        <v>301</v>
      </c>
      <c r="I88" s="6" t="s">
        <v>294</v>
      </c>
      <c r="J88" s="6" t="s">
        <v>305</v>
      </c>
      <c r="K88" s="6" t="s">
        <v>20</v>
      </c>
      <c r="L88" s="6" t="s">
        <v>306</v>
      </c>
    </row>
    <row r="89" customFormat="false" ht="34.5" hidden="false" customHeight="true" outlineLevel="0" collapsed="false">
      <c r="A89" s="6" t="s">
        <v>253</v>
      </c>
      <c r="B89" s="6" t="n">
        <v>5</v>
      </c>
      <c r="C89" s="6" t="n">
        <v>3</v>
      </c>
      <c r="D89" s="6" t="s">
        <v>307</v>
      </c>
      <c r="E89" s="6" t="s">
        <v>255</v>
      </c>
      <c r="F89" s="6" t="s">
        <v>265</v>
      </c>
      <c r="G89" s="6" t="s">
        <v>99</v>
      </c>
      <c r="H89" s="6" t="s">
        <v>100</v>
      </c>
      <c r="I89" s="6" t="s">
        <v>294</v>
      </c>
      <c r="J89" s="6" t="s">
        <v>308</v>
      </c>
      <c r="K89" s="6" t="s">
        <v>20</v>
      </c>
      <c r="L89" s="6" t="s">
        <v>309</v>
      </c>
    </row>
    <row r="90" customFormat="false" ht="34.5" hidden="false" customHeight="true" outlineLevel="0" collapsed="false">
      <c r="A90" s="6" t="s">
        <v>253</v>
      </c>
      <c r="B90" s="6" t="n">
        <v>5</v>
      </c>
      <c r="C90" s="6" t="n">
        <v>4</v>
      </c>
      <c r="D90" s="6" t="s">
        <v>310</v>
      </c>
      <c r="E90" s="6" t="s">
        <v>255</v>
      </c>
      <c r="F90" s="6" t="s">
        <v>272</v>
      </c>
      <c r="G90" s="6" t="s">
        <v>99</v>
      </c>
      <c r="H90" s="6" t="s">
        <v>100</v>
      </c>
      <c r="I90" s="6" t="s">
        <v>294</v>
      </c>
      <c r="J90" s="6" t="s">
        <v>311</v>
      </c>
      <c r="K90" s="6" t="s">
        <v>20</v>
      </c>
      <c r="L90" s="6" t="s">
        <v>312</v>
      </c>
    </row>
    <row r="91" customFormat="false" ht="34.5" hidden="false" customHeight="true" outlineLevel="0" collapsed="false">
      <c r="A91" s="6" t="s">
        <v>253</v>
      </c>
      <c r="B91" s="6" t="n">
        <v>6</v>
      </c>
      <c r="C91" s="6" t="n">
        <v>1</v>
      </c>
      <c r="D91" s="6" t="s">
        <v>313</v>
      </c>
      <c r="E91" s="6" t="s">
        <v>255</v>
      </c>
      <c r="F91" s="6" t="s">
        <v>256</v>
      </c>
      <c r="G91" s="6" t="s">
        <v>99</v>
      </c>
      <c r="H91" s="6" t="s">
        <v>314</v>
      </c>
      <c r="I91" s="6" t="s">
        <v>294</v>
      </c>
      <c r="J91" s="6" t="s">
        <v>315</v>
      </c>
      <c r="K91" s="6" t="s">
        <v>20</v>
      </c>
      <c r="L91" s="6" t="s">
        <v>316</v>
      </c>
    </row>
    <row r="92" customFormat="false" ht="34.5" hidden="false" customHeight="true" outlineLevel="0" collapsed="false">
      <c r="A92" s="6" t="s">
        <v>253</v>
      </c>
      <c r="B92" s="6" t="n">
        <v>6</v>
      </c>
      <c r="C92" s="6" t="n">
        <v>2</v>
      </c>
      <c r="D92" s="6" t="s">
        <v>317</v>
      </c>
      <c r="E92" s="6" t="s">
        <v>255</v>
      </c>
      <c r="F92" s="6" t="s">
        <v>261</v>
      </c>
      <c r="G92" s="6" t="s">
        <v>99</v>
      </c>
      <c r="H92" s="6" t="s">
        <v>314</v>
      </c>
      <c r="I92" s="6" t="s">
        <v>294</v>
      </c>
      <c r="J92" s="6" t="s">
        <v>318</v>
      </c>
      <c r="K92" s="6" t="s">
        <v>20</v>
      </c>
      <c r="L92" s="6" t="s">
        <v>319</v>
      </c>
    </row>
    <row r="93" customFormat="false" ht="34.5" hidden="false" customHeight="true" outlineLevel="0" collapsed="false">
      <c r="A93" s="6" t="s">
        <v>253</v>
      </c>
      <c r="B93" s="6" t="n">
        <v>6</v>
      </c>
      <c r="C93" s="6" t="n">
        <v>3</v>
      </c>
      <c r="D93" s="6" t="s">
        <v>320</v>
      </c>
      <c r="E93" s="6" t="s">
        <v>255</v>
      </c>
      <c r="F93" s="6" t="s">
        <v>265</v>
      </c>
      <c r="G93" s="6" t="s">
        <v>99</v>
      </c>
      <c r="H93" s="6" t="s">
        <v>314</v>
      </c>
      <c r="I93" s="6" t="s">
        <v>294</v>
      </c>
      <c r="J93" s="6" t="s">
        <v>321</v>
      </c>
      <c r="K93" s="6" t="s">
        <v>20</v>
      </c>
      <c r="L93" s="6" t="s">
        <v>322</v>
      </c>
    </row>
    <row r="94" customFormat="false" ht="34.5" hidden="false" customHeight="true" outlineLevel="0" collapsed="false">
      <c r="A94" s="6" t="s">
        <v>253</v>
      </c>
      <c r="B94" s="6" t="n">
        <v>6</v>
      </c>
      <c r="C94" s="6" t="n">
        <v>4</v>
      </c>
      <c r="D94" s="6" t="s">
        <v>323</v>
      </c>
      <c r="E94" s="6" t="s">
        <v>255</v>
      </c>
      <c r="F94" s="6" t="s">
        <v>272</v>
      </c>
      <c r="G94" s="6" t="s">
        <v>99</v>
      </c>
      <c r="H94" s="6" t="s">
        <v>100</v>
      </c>
      <c r="I94" s="6" t="s">
        <v>294</v>
      </c>
      <c r="J94" s="6" t="s">
        <v>324</v>
      </c>
      <c r="K94" s="6" t="s">
        <v>20</v>
      </c>
      <c r="L94" s="6" t="s">
        <v>325</v>
      </c>
    </row>
    <row r="95" customFormat="false" ht="34.5" hidden="false" customHeight="true" outlineLevel="0" collapsed="false">
      <c r="A95" s="6" t="s">
        <v>253</v>
      </c>
      <c r="B95" s="6" t="n">
        <v>7</v>
      </c>
      <c r="C95" s="6" t="n">
        <v>1</v>
      </c>
      <c r="D95" s="6" t="s">
        <v>326</v>
      </c>
      <c r="E95" s="6" t="s">
        <v>255</v>
      </c>
      <c r="F95" s="6" t="s">
        <v>256</v>
      </c>
      <c r="G95" s="6" t="s">
        <v>99</v>
      </c>
      <c r="H95" s="6" t="s">
        <v>100</v>
      </c>
      <c r="I95" s="6" t="s">
        <v>294</v>
      </c>
      <c r="J95" s="6" t="s">
        <v>327</v>
      </c>
      <c r="K95" s="6" t="s">
        <v>20</v>
      </c>
      <c r="L95" s="6" t="s">
        <v>328</v>
      </c>
    </row>
    <row r="96" customFormat="false" ht="34.5" hidden="false" customHeight="true" outlineLevel="0" collapsed="false">
      <c r="A96" s="6" t="s">
        <v>253</v>
      </c>
      <c r="B96" s="6" t="n">
        <v>7</v>
      </c>
      <c r="C96" s="6" t="n">
        <v>2</v>
      </c>
      <c r="D96" s="6" t="s">
        <v>329</v>
      </c>
      <c r="E96" s="6" t="s">
        <v>255</v>
      </c>
      <c r="F96" s="6" t="s">
        <v>261</v>
      </c>
      <c r="G96" s="6" t="s">
        <v>99</v>
      </c>
      <c r="H96" s="6" t="s">
        <v>100</v>
      </c>
      <c r="I96" s="6" t="s">
        <v>294</v>
      </c>
      <c r="J96" s="6" t="s">
        <v>330</v>
      </c>
      <c r="K96" s="6" t="s">
        <v>20</v>
      </c>
      <c r="L96" s="6" t="s">
        <v>331</v>
      </c>
    </row>
    <row r="97" customFormat="false" ht="34.5" hidden="false" customHeight="true" outlineLevel="0" collapsed="false">
      <c r="A97" s="6" t="s">
        <v>253</v>
      </c>
      <c r="B97" s="6" t="n">
        <v>7</v>
      </c>
      <c r="C97" s="6" t="n">
        <v>3</v>
      </c>
      <c r="D97" s="6" t="s">
        <v>332</v>
      </c>
      <c r="E97" s="6" t="s">
        <v>255</v>
      </c>
      <c r="F97" s="6" t="s">
        <v>265</v>
      </c>
      <c r="G97" s="6" t="s">
        <v>99</v>
      </c>
      <c r="H97" s="6" t="s">
        <v>100</v>
      </c>
      <c r="I97" s="6" t="s">
        <v>294</v>
      </c>
      <c r="J97" s="6" t="s">
        <v>333</v>
      </c>
      <c r="K97" s="6" t="s">
        <v>20</v>
      </c>
      <c r="L97" s="6" t="s">
        <v>334</v>
      </c>
    </row>
    <row r="98" customFormat="false" ht="34.5" hidden="false" customHeight="true" outlineLevel="0" collapsed="false">
      <c r="A98" s="6" t="s">
        <v>253</v>
      </c>
      <c r="B98" s="6" t="n">
        <v>7</v>
      </c>
      <c r="C98" s="6" t="n">
        <v>4</v>
      </c>
      <c r="D98" s="6" t="s">
        <v>335</v>
      </c>
      <c r="E98" s="6" t="s">
        <v>255</v>
      </c>
      <c r="F98" s="6" t="s">
        <v>272</v>
      </c>
      <c r="G98" s="6" t="s">
        <v>99</v>
      </c>
      <c r="H98" s="6" t="s">
        <v>100</v>
      </c>
      <c r="I98" s="6" t="s">
        <v>294</v>
      </c>
      <c r="J98" s="6" t="s">
        <v>336</v>
      </c>
      <c r="K98" s="6" t="s">
        <v>20</v>
      </c>
      <c r="L98" s="6" t="s">
        <v>337</v>
      </c>
    </row>
    <row r="99" customFormat="false" ht="34.5" hidden="false" customHeight="true" outlineLevel="0" collapsed="false">
      <c r="A99" s="6" t="s">
        <v>253</v>
      </c>
      <c r="B99" s="6" t="n">
        <v>8</v>
      </c>
      <c r="C99" s="6" t="n">
        <v>1</v>
      </c>
      <c r="D99" s="6" t="s">
        <v>338</v>
      </c>
      <c r="E99" s="6" t="s">
        <v>255</v>
      </c>
      <c r="F99" s="6" t="s">
        <v>256</v>
      </c>
      <c r="G99" s="6" t="s">
        <v>99</v>
      </c>
      <c r="H99" s="6" t="s">
        <v>100</v>
      </c>
      <c r="I99" s="6" t="s">
        <v>294</v>
      </c>
      <c r="J99" s="6" t="s">
        <v>339</v>
      </c>
      <c r="K99" s="6" t="s">
        <v>20</v>
      </c>
      <c r="L99" s="6" t="s">
        <v>340</v>
      </c>
    </row>
    <row r="100" customFormat="false" ht="34.5" hidden="false" customHeight="true" outlineLevel="0" collapsed="false">
      <c r="A100" s="6" t="s">
        <v>253</v>
      </c>
      <c r="B100" s="6" t="n">
        <v>8</v>
      </c>
      <c r="C100" s="6" t="n">
        <v>2</v>
      </c>
      <c r="D100" s="6" t="s">
        <v>341</v>
      </c>
      <c r="E100" s="6" t="s">
        <v>255</v>
      </c>
      <c r="F100" s="6" t="s">
        <v>261</v>
      </c>
      <c r="G100" s="6" t="s">
        <v>99</v>
      </c>
      <c r="H100" s="6" t="s">
        <v>100</v>
      </c>
      <c r="I100" s="6" t="s">
        <v>294</v>
      </c>
      <c r="J100" s="6" t="s">
        <v>342</v>
      </c>
      <c r="K100" s="6" t="s">
        <v>20</v>
      </c>
      <c r="L100" s="6" t="s">
        <v>343</v>
      </c>
    </row>
    <row r="101" customFormat="false" ht="34.5" hidden="false" customHeight="true" outlineLevel="0" collapsed="false">
      <c r="A101" s="6" t="s">
        <v>253</v>
      </c>
      <c r="B101" s="6" t="n">
        <v>8</v>
      </c>
      <c r="C101" s="6" t="n">
        <v>3</v>
      </c>
      <c r="D101" s="6" t="s">
        <v>344</v>
      </c>
      <c r="E101" s="6" t="s">
        <v>255</v>
      </c>
      <c r="F101" s="6" t="s">
        <v>265</v>
      </c>
      <c r="G101" s="6" t="s">
        <v>99</v>
      </c>
      <c r="H101" s="6" t="s">
        <v>100</v>
      </c>
      <c r="I101" s="6" t="s">
        <v>294</v>
      </c>
      <c r="J101" s="6" t="s">
        <v>345</v>
      </c>
      <c r="K101" s="6" t="s">
        <v>20</v>
      </c>
      <c r="L101" s="6" t="s">
        <v>346</v>
      </c>
    </row>
    <row r="102" customFormat="false" ht="34.5" hidden="false" customHeight="true" outlineLevel="0" collapsed="false">
      <c r="A102" s="6" t="s">
        <v>253</v>
      </c>
      <c r="B102" s="6" t="n">
        <v>8</v>
      </c>
      <c r="C102" s="6" t="n">
        <v>4</v>
      </c>
      <c r="D102" s="6" t="s">
        <v>347</v>
      </c>
      <c r="E102" s="6" t="s">
        <v>255</v>
      </c>
      <c r="F102" s="6" t="s">
        <v>272</v>
      </c>
      <c r="G102" s="6" t="s">
        <v>99</v>
      </c>
      <c r="H102" s="6" t="s">
        <v>100</v>
      </c>
      <c r="I102" s="6" t="s">
        <v>294</v>
      </c>
      <c r="J102" s="6" t="s">
        <v>348</v>
      </c>
      <c r="K102" s="6" t="s">
        <v>20</v>
      </c>
      <c r="L102" s="6" t="s">
        <v>349</v>
      </c>
    </row>
  </sheetData>
  <autoFilter ref="A1:L10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4"/>
  </cols>
  <sheetData>
    <row r="1" customFormat="false" ht="15.75" hidden="false" customHeight="true" outlineLevel="0" collapsed="false">
      <c r="A1" s="7" t="s">
        <v>350</v>
      </c>
    </row>
    <row r="3" customFormat="false" ht="15" hidden="false" customHeight="true" outlineLevel="0" collapsed="false">
      <c r="A3" s="8" t="s">
        <v>351</v>
      </c>
      <c r="B3" s="8" t="s">
        <v>352</v>
      </c>
    </row>
    <row r="5" customFormat="false" ht="15" hidden="false" customHeight="true" outlineLevel="0" collapsed="false">
      <c r="A5" s="9" t="s">
        <v>0</v>
      </c>
      <c r="B5" s="9" t="s">
        <v>353</v>
      </c>
    </row>
    <row r="6" customFormat="false" ht="15" hidden="false" customHeight="true" outlineLevel="0" collapsed="false">
      <c r="A6" s="8" t="s">
        <v>12</v>
      </c>
      <c r="B6" s="8" t="n">
        <f aca="false">COUNTIF(Captions!A:A,A6)</f>
        <v>24</v>
      </c>
    </row>
    <row r="7" customFormat="false" ht="15" hidden="false" customHeight="true" outlineLevel="0" collapsed="false">
      <c r="A7" s="8" t="s">
        <v>95</v>
      </c>
      <c r="B7" s="8" t="n">
        <f aca="false">COUNTIF(Captions!A:A,A7)</f>
        <v>24</v>
      </c>
    </row>
    <row r="8" customFormat="false" ht="15" hidden="false" customHeight="true" outlineLevel="0" collapsed="false">
      <c r="A8" s="8" t="s">
        <v>175</v>
      </c>
      <c r="B8" s="8" t="n">
        <f aca="false">COUNTIF(Captions!A:A,A8)</f>
        <v>24</v>
      </c>
    </row>
    <row r="9" customFormat="false" ht="15" hidden="false" customHeight="true" outlineLevel="0" collapsed="false">
      <c r="A9" s="8" t="s">
        <v>253</v>
      </c>
      <c r="B9" s="8" t="n">
        <f aca="false">COUNTIF(Captions!A:A,A9)</f>
        <v>29</v>
      </c>
    </row>
    <row r="10" customFormat="false" ht="15" hidden="false" customHeight="true" outlineLevel="0" collapsed="false">
      <c r="A10" s="10" t="s">
        <v>354</v>
      </c>
      <c r="B10" s="8" t="n">
        <f aca="false">SUM(B6:B9)</f>
        <v>101</v>
      </c>
    </row>
    <row r="12" customFormat="false" ht="15" hidden="false" customHeight="true" outlineLevel="0" collapsed="false">
      <c r="A12" s="9" t="s">
        <v>5</v>
      </c>
      <c r="B12" s="9" t="s">
        <v>353</v>
      </c>
    </row>
    <row r="13" customFormat="false" ht="15" hidden="false" customHeight="true" outlineLevel="0" collapsed="false">
      <c r="A13" s="8" t="s">
        <v>355</v>
      </c>
      <c r="B13" s="8" t="n">
        <f aca="false">COUNTIF(Captions!F:F,"early phase*")</f>
        <v>26</v>
      </c>
    </row>
    <row r="14" customFormat="false" ht="15" hidden="false" customHeight="true" outlineLevel="0" collapsed="false">
      <c r="A14" s="8" t="s">
        <v>356</v>
      </c>
      <c r="B14" s="8" t="n">
        <f aca="false">COUNTIF(Captions!F:F,"developing phase*")</f>
        <v>24</v>
      </c>
    </row>
    <row r="15" customFormat="false" ht="15" hidden="false" customHeight="true" outlineLevel="0" collapsed="false">
      <c r="A15" s="8" t="s">
        <v>357</v>
      </c>
      <c r="B15" s="8" t="n">
        <f aca="false">COUNTIF(Captions!F:F,"middle phase*")</f>
        <v>0</v>
      </c>
    </row>
    <row r="16" customFormat="false" ht="15" hidden="false" customHeight="true" outlineLevel="0" collapsed="false">
      <c r="A16" s="8" t="s">
        <v>358</v>
      </c>
      <c r="B16" s="8" t="n">
        <f aca="false">COUNTIF(Captions!F:F,"advanced phase*")</f>
        <v>25</v>
      </c>
    </row>
    <row r="17" customFormat="false" ht="15" hidden="false" customHeight="true" outlineLevel="0" collapsed="false">
      <c r="A17" s="8" t="s">
        <v>359</v>
      </c>
      <c r="B17" s="8" t="n">
        <f aca="false">COUNTIF(Captions!F:F,"final phase*")</f>
        <v>26</v>
      </c>
    </row>
    <row r="19" customFormat="false" ht="15" hidden="false" customHeight="true" outlineLevel="0" collapsed="false">
      <c r="A19" s="9" t="s">
        <v>6</v>
      </c>
      <c r="B19" s="9" t="s">
        <v>353</v>
      </c>
    </row>
    <row r="20" customFormat="false" ht="15" hidden="false" customHeight="true" outlineLevel="0" collapsed="false">
      <c r="A20" s="8" t="s">
        <v>16</v>
      </c>
      <c r="B20" s="8" t="n">
        <f aca="false">COUNTIF(Captions!G:G,A20)</f>
        <v>24</v>
      </c>
    </row>
    <row r="21" customFormat="false" ht="15" hidden="false" customHeight="true" outlineLevel="0" collapsed="false">
      <c r="A21" s="8" t="s">
        <v>99</v>
      </c>
      <c r="B21" s="8" t="n">
        <f aca="false">COUNTIF(Captions!G:G,A21)</f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2026-07-06T14:46:25Z</dcterms:created>
  <dc:creator>openpyxl</dc:creator>
  <dc:description/>
  <dc:language>en-US</dc:language>
  <cp:lastModifiedBy/>
  <dcterms:modified xsi:type="dcterms:W3CDTF">2026-07-06T16:52:22Z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